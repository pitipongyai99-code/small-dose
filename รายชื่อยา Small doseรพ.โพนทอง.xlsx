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คำนวณยา IV และสารน้ำ" sheetId="1" r:id="rId5"/>
    <sheet state="visible" name="ข้อมูลยา" sheetId="2" r:id="rId6"/>
    <sheet state="visible" name="ข้อมูลยา ห้ามแก้ไข" sheetId="3" r:id="rId7"/>
    <sheet state="visible" name="ข้อมูลยาน้ำ ห้ามแก้ไข" sheetId="4" r:id="rId8"/>
  </sheets>
  <definedNames/>
  <calcPr/>
</workbook>
</file>

<file path=xl/sharedStrings.xml><?xml version="1.0" encoding="utf-8"?>
<sst xmlns="http://schemas.openxmlformats.org/spreadsheetml/2006/main" count="379" uniqueCount="264">
  <si>
    <t>คำนวณขนาดยา</t>
  </si>
  <si>
    <t>ยาที่ใช้</t>
  </si>
  <si>
    <t>ขนาดยาที่แพทย์สั่ง (mg)</t>
  </si>
  <si>
    <t>น้ำหนัก 
(kg)</t>
  </si>
  <si>
    <t>อายุ (ปี)</t>
  </si>
  <si>
    <t>Dose</t>
  </si>
  <si>
    <t>ขนาดยาต่ำสุด
(mg or unit)/dose</t>
  </si>
  <si>
    <t>ขนาดยาสูงสุด
(mg or unit)/dose</t>
  </si>
  <si>
    <t>ความถี่การให้ยา</t>
  </si>
  <si>
    <r>
      <rPr>
        <rFont val="TH SarabunPSK"/>
        <b/>
        <color theme="1"/>
        <sz val="28.0"/>
      </rPr>
      <t xml:space="preserve">ใส่ข้อมูลช่องสีแดงค่ะ
</t>
    </r>
    <r>
      <rPr>
        <rFont val="TH SarabunPSK"/>
        <b/>
        <color theme="1"/>
        <sz val="21.0"/>
      </rPr>
      <t>(ช่องอื่นรบกวนไม่แก้ไขค่ะ)</t>
    </r>
  </si>
  <si>
    <t>Clindamycin 600 mg/4ml</t>
  </si>
  <si>
    <t>สารน้ำที่ต้องผสม</t>
  </si>
  <si>
    <t>ปริมาตรยาที่ใช้ (ml)</t>
  </si>
  <si>
    <t>สารน้ำที่ต้องเจือจาง</t>
  </si>
  <si>
    <t>ปริมาตรสารน้ำที่ใช้เจือจาง (ml)</t>
  </si>
  <si>
    <t>ปริมาตรรวม</t>
  </si>
  <si>
    <t>ระยะเวลาที่ drip ยา</t>
  </si>
  <si>
    <t>หมายเหตุ</t>
  </si>
  <si>
    <t>Ampicillin500mg</t>
  </si>
  <si>
    <t>Ceftriaxone 1 g</t>
  </si>
  <si>
    <t>รายการยา</t>
  </si>
  <si>
    <t>ปริมาณตัวทำละลายผงยา</t>
  </si>
  <si>
    <t>total volume</t>
  </si>
  <si>
    <t>conc (mg/ml)</t>
  </si>
  <si>
    <t>สารน้ำที่ใช้เจือจาง</t>
  </si>
  <si>
    <t>administration conc.</t>
  </si>
  <si>
    <t>administration rate</t>
  </si>
  <si>
    <t>หมายเหตุ*</t>
  </si>
  <si>
    <t>ปริมาณตัวทำละลายผงยา (ml)</t>
  </si>
  <si>
    <t>conc. only ตัวเลข mg/ml</t>
  </si>
  <si>
    <t>administration conc. ต่ำสุด only ตัวเลข</t>
  </si>
  <si>
    <t>*หมายเหตุ</t>
  </si>
  <si>
    <t>dose (from sanford guide)</t>
  </si>
  <si>
    <t>Minimum dose per Kg</t>
  </si>
  <si>
    <t>Maximum dose per Kg</t>
  </si>
  <si>
    <t>Divided per day (ครั้ง)</t>
  </si>
  <si>
    <t>อายุ</t>
  </si>
  <si>
    <t>Adrenaline 1 mg/1ml</t>
  </si>
  <si>
    <t>-</t>
  </si>
  <si>
    <t>1 mg/ml (1:1000)</t>
  </si>
  <si>
    <t>D5W D10W NSS*</t>
  </si>
  <si>
    <t>infusion max conc 60 mcg/ml</t>
  </si>
  <si>
    <r>
      <rPr>
        <rFont val="TH SarabunPSK"/>
        <color rgb="FF000000"/>
        <sz val="14.0"/>
      </rPr>
      <t xml:space="preserve">NSS (compativle but administration in </t>
    </r>
    <r>
      <rPr>
        <rFont val="TH SarabunPSK"/>
        <color rgb="FFFF0000"/>
        <sz val="14.0"/>
      </rPr>
      <t>saline solution alone is not recomeded</t>
    </r>
    <r>
      <rPr>
        <rFont val="TH SarabunPSK"/>
        <color rgb="FF000000"/>
        <sz val="14.0"/>
      </rPr>
      <t>)</t>
    </r>
  </si>
  <si>
    <t>Calcium gluconate 0.45 mEq/1 ml (10 ml/amp)</t>
  </si>
  <si>
    <t>0.45 mEq/ml</t>
  </si>
  <si>
    <t>D5W D10W NSS</t>
  </si>
  <si>
    <t>conc bolus 10-50 mg/ml conc continuous infusion 5.8-10 mg/ml</t>
  </si>
  <si>
    <t xml:space="preserve">max IV drip 100 mg/min, max continuos drip neonate (&lt;1 month): 17-33 mg/kg/hr, &gt;1 month - 17 year: 8-13 mg/kg/hr </t>
  </si>
  <si>
    <t>Ciprofloxacin 400 mg/200 ml</t>
  </si>
  <si>
    <t>2 mg/ml</t>
  </si>
  <si>
    <t>D5W D10W NSS 
D5N/2 D5N/4 LRS</t>
  </si>
  <si>
    <t xml:space="preserve">0.5-2 mg/ml </t>
  </si>
  <si>
    <t>IV drip over 60 min</t>
  </si>
  <si>
    <t>20-30 mg/kg/day (divided q 12 hr)</t>
  </si>
  <si>
    <t>ทุก 12 ชั่วโมง</t>
  </si>
  <si>
    <t>Dexamethasone 4mg/1ml</t>
  </si>
  <si>
    <t>4 mg/ml</t>
  </si>
  <si>
    <t>undiluted or diluted to 0.1-1 mg/ml</t>
  </si>
  <si>
    <t>DIAZEPAM 10 mg/ 2 ml</t>
  </si>
  <si>
    <t>5 mg/ml</t>
  </si>
  <si>
    <t>sedation: 0.05-0.1 mg/kg/dose
seizures 0.2-0.3 mg/kg</t>
  </si>
  <si>
    <t>Gentamicin 80 mg/2ml</t>
  </si>
  <si>
    <t>40 mg/ml</t>
  </si>
  <si>
    <t>1 mg/ml or 2 mg/ml or 10 mg/ml or 10 mg/ml</t>
  </si>
  <si>
    <t>IV drip in 30 min</t>
  </si>
  <si>
    <t>- 2.5 (divided q 8 hr)
- 5-7 mg/kg/day) OD
- max 105 mg/day</t>
  </si>
  <si>
    <t>ทุก 8 ชั่วโมง</t>
  </si>
  <si>
    <t>Levetiracetam 100 mg/1ml (5 ml/vial)</t>
  </si>
  <si>
    <t>100 mg/1ml</t>
  </si>
  <si>
    <t>D5W NSS LRS</t>
  </si>
  <si>
    <t>max 15 mg/ml</t>
  </si>
  <si>
    <t>IV drip over 15 min</t>
  </si>
  <si>
    <t>Methylprednisolone 40 mg/1 mg (single dose vial)</t>
  </si>
  <si>
    <t>D5W NSS  D5S D5N/2 LRS</t>
  </si>
  <si>
    <t>IV push over several min, IV infusion high dose 15-30 mg/kg or 500-1000 mg per dose to 2.5-20 mg/ml</t>
  </si>
  <si>
    <t>IV drip over 30 min to 3 hr</t>
  </si>
  <si>
    <t>Metronidazole 500 mg/100 ml</t>
  </si>
  <si>
    <t>D5W NSS</t>
  </si>
  <si>
    <t>max 8 mg/ml</t>
  </si>
  <si>
    <t>IV drip over 30-60 min</t>
  </si>
  <si>
    <t>22.5-40 mg/kg/day (divided q 6-8)</t>
  </si>
  <si>
    <t>ONDANSETRON 4 mg /2 ml.</t>
  </si>
  <si>
    <t>0.15 mg/kg/dose</t>
  </si>
  <si>
    <t>Phenobarbital 200 mg/1 ml</t>
  </si>
  <si>
    <t>200 mg/ml</t>
  </si>
  <si>
    <t>standard conc 10 mg/ml and 65 mg/ml</t>
  </si>
  <si>
    <t>IV drip 15- 30 min</t>
  </si>
  <si>
    <t>Phenytoin 250 mg/5ml</t>
  </si>
  <si>
    <t>50 mg/ml</t>
  </si>
  <si>
    <t>NSS only</t>
  </si>
  <si>
    <t>IV infusion not less than 5 mg/ml</t>
  </si>
  <si>
    <t>IV drip in 15-30 min</t>
  </si>
  <si>
    <t>Potassium chloride 40 mEq/20 ml</t>
  </si>
  <si>
    <t>2 mEq/ml</t>
  </si>
  <si>
    <t>D5W D10W NSS D5N/2 D5N/4 LRS, Acetar</t>
  </si>
  <si>
    <t xml:space="preserve">max. peripheral infusion 60-80 mEq/L max. central line infusion 200 mEq/L </t>
  </si>
  <si>
    <t>max 1 mEq/kg/hr or 40 mEq/hr</t>
  </si>
  <si>
    <t>Sodium valproate 400 mg/4ml</t>
  </si>
  <si>
    <t>100 mg/ml</t>
  </si>
  <si>
    <t>IV drip max 20 mg/min over 60 min</t>
  </si>
  <si>
    <t>เจือจางในสารน้ำ อย่างน้อย 50 ml</t>
  </si>
  <si>
    <t>Amoxy-clave 1.2 g</t>
  </si>
  <si>
    <t>NSS,SWI 19.1 ml</t>
  </si>
  <si>
    <t>20 ml</t>
  </si>
  <si>
    <t>NSS</t>
  </si>
  <si>
    <t xml:space="preserve">10-20 mg of amoxicillin/ml </t>
  </si>
  <si>
    <t>IV drip in 30-40 min</t>
  </si>
  <si>
    <t xml:space="preserve">&lt;3 mo, wt. &lt;4 kg: 25 mg/kg q 12 hr 
&lt;3 mo, wt. &gt;=4 kg: 25 mg/kg q 8 hr 
&gt;=3 mo, wt. &lt;40 kg: 25 mg/kg q 8 hr 
&gt;=3 mo, wt. &lt;40 kg:  1000/200 q 8 hr </t>
  </si>
  <si>
    <t>Ampicillin 1000 mg</t>
  </si>
  <si>
    <t>NSS,SWI 7.4 ml</t>
  </si>
  <si>
    <t>10 ml</t>
  </si>
  <si>
    <t>D5W NSS D5N/2 LRS</t>
  </si>
  <si>
    <t>recommened 30,40,50,100 mg/ml</t>
  </si>
  <si>
    <t>- 200 mg/kg/day (divided q 6 hr)
- meningitis 300-400 mg/kg/day (divided q 4 hr)</t>
  </si>
  <si>
    <t>ทุก 6 ชั่วโมง</t>
  </si>
  <si>
    <t>Ampicillin 500 mg</t>
  </si>
  <si>
    <t>NSS,SWI 5 ml</t>
  </si>
  <si>
    <t>5 ml</t>
  </si>
  <si>
    <t>D5W</t>
  </si>
  <si>
    <t>-200 mg/kg/day (divided q 6 hr)
-meningitis 300-400 mg/kg/day (divided q 4 hr)</t>
  </si>
  <si>
    <t>Cefazolin 1 g</t>
  </si>
  <si>
    <t>SWI 4.5 ml</t>
  </si>
  <si>
    <t>NSS D5W D10W LRS</t>
  </si>
  <si>
    <t>IV bolus  100 mg/ml, IV infusion 5-20 mg/ml</t>
  </si>
  <si>
    <t>IV bolus over 3-5 min or IV drip 30-60 min</t>
  </si>
  <si>
    <t>-50-150 mg/kg/day (divided q 6-8 hr)
-max 6 gm/day</t>
  </si>
  <si>
    <t>Cefotaxime 1 g</t>
  </si>
  <si>
    <t>SWI 9.6 ml</t>
  </si>
  <si>
    <t>NSS D5W D10W</t>
  </si>
  <si>
    <t>IV bolus 50-100 mg/ml, IV infusion 10-40 mg/ml</t>
  </si>
  <si>
    <t>Standard
0-7 day: 100 mg/kg/day (divided q 12 hr)
8-28 day: 150 mg/kg/day (divided q 8 hr)
&gt;28 day: 150-200 mg/kg/day (divided q 6-8 hr)
Meningitis
0-7 day: 100-150 mg/kg/day (divided q 8-12 hr)
8-28 day: 150-200 mg/kg/day (divided q 6-8 ht)
&gt;28 day: 225-300 mg/kg/day (divided q 6-8 ht)</t>
  </si>
  <si>
    <t>Ceftazidime 1 g</t>
  </si>
  <si>
    <t>SWI 9  ml</t>
  </si>
  <si>
    <t>1-40 mg/ml</t>
  </si>
  <si>
    <t>น้อยกว่า 1 g เจือจางในสารน้ำ 30-50 ml, มากกว่า 1 g เจือจางในสารน้ำ 60-100 ml</t>
  </si>
  <si>
    <t>-150-200 mg/kg/day divided q 8 hr
-CF: 300 mg2kg/day divided q 8 hr</t>
  </si>
  <si>
    <t>SWI 9.5 ml</t>
  </si>
  <si>
    <t>10-40 mg/ml (or lower if necessary)</t>
  </si>
  <si>
    <t>&lt;1 g IV drip in 30 min, &gt; 1 g  IV drip in 60 min</t>
  </si>
  <si>
    <t>-50-100 mg/kg q 24 hr
-meningitis: 50 mg/kg q 12 hr</t>
  </si>
  <si>
    <t>Cloxacillin 1 g</t>
  </si>
  <si>
    <t>IV bolus SWI 9.6 ml, IV infusion SWI 3.4 ml</t>
  </si>
  <si>
    <t>IV bolus 10 ml, IV infusion 4 ml</t>
  </si>
  <si>
    <t>IV bolus 100 mg/ml, IV infusion 250 mg/ml</t>
  </si>
  <si>
    <t>NSS D5W*</t>
  </si>
  <si>
    <t>IV push 50 or 10 mg/ml, IV infusion +solution to 100 ml</t>
  </si>
  <si>
    <t>IV bolus over 2-4 min, IV drip over 30-40 min</t>
  </si>
  <si>
    <t xml:space="preserve">ให้ add  NSS to 100 ml 
***ใน D5W โอกาสเกิด phlebitis มากกว่า </t>
  </si>
  <si>
    <t>-50-200 mg/kg/day divided q 6 hr</t>
  </si>
  <si>
    <t>Colistin 150 mg</t>
  </si>
  <si>
    <t>SWI 2 ml</t>
  </si>
  <si>
    <t>2 ml</t>
  </si>
  <si>
    <t>75 mg/ml</t>
  </si>
  <si>
    <t>NSS, D5W, D5S, D10W, SWI</t>
  </si>
  <si>
    <t>IV drip 30-60 min</t>
  </si>
  <si>
    <t>-2.5-5 mg/kg/day divided q 6-12 hr
-CF: 3-8 mg/kg/day divided q 8 hr</t>
  </si>
  <si>
    <t>Hydrocortisone 100 mg</t>
  </si>
  <si>
    <t>SWI 1.8 ml</t>
  </si>
  <si>
    <t>NSS D5W</t>
  </si>
  <si>
    <t>IV infusion 1 mg/ml, fluid-restricted pt. IV bolus up to 3000 mg + 50 ml and IV infusion 1,2,5 mg/ml</t>
  </si>
  <si>
    <t xml:space="preserve">IV bolus 30 sec. (100 mg) to 10 min (500 mg and more), </t>
  </si>
  <si>
    <t>Meropenem 1 g</t>
  </si>
  <si>
    <t>SWI 19 ml</t>
  </si>
  <si>
    <t>1-20 mg/ml</t>
  </si>
  <si>
    <t>IV drip over 30 min</t>
  </si>
  <si>
    <t>-60 mg/kg/day divided q 8 hr
-Meninigitis 120 mg/kg/day divided q 8 hr</t>
  </si>
  <si>
    <t>Omeprazole 40 mg</t>
  </si>
  <si>
    <t>SWI 10 ml</t>
  </si>
  <si>
    <t>direct IV or dilute 50-100 ml  iv infusion</t>
  </si>
  <si>
    <t>direct IV 40 mg over 5 min  or IV drip 20-30 min</t>
  </si>
  <si>
    <t>infusion เจือจางในสารน้ำ 50-100 ml</t>
  </si>
  <si>
    <t>Penicillin G Sodium 5 MU</t>
  </si>
  <si>
    <t>SWI 8 ml</t>
  </si>
  <si>
    <t>500,000 unit/ml</t>
  </si>
  <si>
    <t>50,000-100,000 unit/ml (in neonate 25,000 unit/ml has been used)</t>
  </si>
  <si>
    <t>IV drip : add solution up to 30 ml drip over 15-30 min</t>
  </si>
  <si>
    <t>-100,000 - 300,000 unit/kg/day divided q 4-6 hr
-CNS 300,000 - 400,000 unit/kg/day divied q 4 hr
-meningitis
&lt;= 7 day: 450,000 unit/kg/day divied q 8 hr
&gt;7 day: 500,000 unit/kg/day divied q 6 hr</t>
  </si>
  <si>
    <t>Piperacillin+tazobactam 4.5 g</t>
  </si>
  <si>
    <t>SWI 20 ML</t>
  </si>
  <si>
    <t>180 mg/mL</t>
  </si>
  <si>
    <t xml:space="preserve">20-80 mg/ml of piperacillin </t>
  </si>
  <si>
    <t>400 mg/kg/day divided q 6 hr</t>
  </si>
  <si>
    <t>piperacillin 180 mg/ml, tazobactam 22.5 mg/ml (after recon. conc.= 202.5 mg/mL)</t>
  </si>
  <si>
    <t>Vancomycin 500 mg</t>
  </si>
  <si>
    <t>max rate 10 mg/min</t>
  </si>
  <si>
    <t>60-80  mg/kg/day divided q 6 hr</t>
  </si>
  <si>
    <t>Acyclovir 250 mg</t>
  </si>
  <si>
    <t>SWI 10 ML</t>
  </si>
  <si>
    <t>25 mg/ml</t>
  </si>
  <si>
    <t>&lt;5</t>
  </si>
  <si>
    <t>IV drip conc &lt;5 mg/ml drip over 1 hr</t>
  </si>
  <si>
    <t>IV drip conc &lt;5 mg/ml</t>
  </si>
  <si>
    <t>-60 mg/kg/day divided q 8 hr
-HSV encephalitis &gt;3 MO 30-45 mg/kg/day divided q 8 hr</t>
  </si>
  <si>
    <t>Amikacin sulfate  500 mg/2 ml</t>
  </si>
  <si>
    <t>250 MG/ml</t>
  </si>
  <si>
    <t>2.5- 10 mg/ml</t>
  </si>
  <si>
    <t>-15-20 mg/kg/day once daily
-5-7.5 mg/kg q 8 hr</t>
  </si>
  <si>
    <t>ทุก 24 ชั่วโมง</t>
  </si>
  <si>
    <t>150 mg/ml</t>
  </si>
  <si>
    <t>max 18 mg/ml standard conc. 6 mg/ml or 12 mg/ml or 18 mg/ml</t>
  </si>
  <si>
    <t>IV drip in 10-60 min not exceed 30 mg/min</t>
  </si>
  <si>
    <t>20-40 mg/kg/day divided q 6-8 hr</t>
  </si>
  <si>
    <t>Amiodarone Hydrochloride 50 mg/ml</t>
  </si>
  <si>
    <t>DIGOXIN IV 0.25 mg/ml</t>
  </si>
  <si>
    <t>0.25 mg/ml</t>
  </si>
  <si>
    <t>DIPOTASSIUM PHOSPHATE 1meq/ml</t>
  </si>
  <si>
    <t>1 meq/ml</t>
  </si>
  <si>
    <t>50%MAGNESIUM SULFATE 0.5 g/ml</t>
  </si>
  <si>
    <t>500 mg/ml</t>
  </si>
  <si>
    <t>Concentration (mg/ml)</t>
  </si>
  <si>
    <t>standard dose (sanford guide 2025) age &gt; 28 day</t>
  </si>
  <si>
    <t>High dose regimen (sanford guide 2025)</t>
  </si>
  <si>
    <t>max dose</t>
  </si>
  <si>
    <t>Standard Dose (micromedex)</t>
  </si>
  <si>
    <t>High dose regimen</t>
  </si>
  <si>
    <t>Maximum dose</t>
  </si>
  <si>
    <t>กระทรวง</t>
  </si>
  <si>
    <t xml:space="preserve">AMOXICILLIN 125 mg/5ml x 1 ขวด (60 ml.)
</t>
  </si>
  <si>
    <t>25-50 mg/kg/day divied q 8 hr</t>
  </si>
  <si>
    <t>80-100 mg/kg/day</t>
  </si>
  <si>
    <t>&lt;3 MO 15 mg/kg/dose q 12 hr
&gt;3 MO &amp; Wt.&lt;40 kg 25-45 mg/kg/day
&gt;=3 MO&amp; Wt. &gt;40 kg 500 mg/dose q 8-12 hr, 250 mg/dose q 8 hr, 875 mg q 12 hr</t>
  </si>
  <si>
    <t>50 mg/kg/dose</t>
  </si>
  <si>
    <t>20-50 mg/kg/day divied q 8 hr</t>
  </si>
  <si>
    <t>Co-Amoxiclav 457 mg/5ml x 1 ขวด</t>
  </si>
  <si>
    <t>******amoxy content</t>
  </si>
  <si>
    <t>45 mg/kg/day</t>
  </si>
  <si>
    <t>90 mg/kg/day</t>
  </si>
  <si>
    <t>&lt;90 day: 30 mg/kg/day divied q 12 hr
&gt;90 day: 25 mg/kg/day divied q 12 hr (max 500 mg/dose), 20 mg/kg/day divied q 8 hr (max250 mg/dose)</t>
  </si>
  <si>
    <t>25-45 mg/kg/day divied q 8 hr</t>
  </si>
  <si>
    <t>DICLOXACILLIN 62.5 mg/5ml x 1 ขวด (60 ml.)</t>
  </si>
  <si>
    <t>12.5-25 mg/kg/day divied q 6 hr</t>
  </si>
  <si>
    <t xml:space="preserve">SSTI: 
</t>
  </si>
  <si>
    <t>CO-TRIMOXAZOLE susp 240 mg/5ml x 1 ขวด (60 ml.)</t>
  </si>
  <si>
    <t>8-10 TMP/kg/day divied q 12 hr
PJP: 15-20 TMP/kg/day divied q 6-8 hr</t>
  </si>
  <si>
    <t>4 mg/kg/dose  q 8 hr</t>
  </si>
  <si>
    <t>cePHALEXIN SYRUP 125 mg/5ml x 1 syrup</t>
  </si>
  <si>
    <t>25-100 mg/kg/day divied q 6 hr</t>
  </si>
  <si>
    <t>mg/kg/day divied q hr</t>
  </si>
  <si>
    <t>25-50 mg/kg/day divied q 6 hr</t>
  </si>
  <si>
    <t>CEFIXIME(Cefspan) SYRUP 100 mg/5ml x 1 ขวด</t>
  </si>
  <si>
    <t>8 mg/kg/day divied q 12-24 hr</t>
  </si>
  <si>
    <t>ERYTHROMYCIN 125 mg/5ml x 1 ขวด (60 ml.)</t>
  </si>
  <si>
    <t>45-50 mg/kg/day divied q 6 hr</t>
  </si>
  <si>
    <t>30-50 mg/kg/day divied q 6 hr</t>
  </si>
  <si>
    <t>azithromycin</t>
  </si>
  <si>
    <t>5-12 mg/kg/day</t>
  </si>
  <si>
    <t>10 mg/kg/day OD</t>
  </si>
  <si>
    <t>Favipiravir 100 mg/1ml</t>
  </si>
  <si>
    <t>PARACETAMOL SUSPENSION 120 mg/5ml x 1 ขวด</t>
  </si>
  <si>
    <t>&lt;60 kg: 10-15 mg/kg/dose mg q 4-6 hr
&gt;=60 kg: 650-1000 mg q 4-6 hr</t>
  </si>
  <si>
    <t>4 gm/day</t>
  </si>
  <si>
    <t>10-15 mg/kg/dose q 4-6 hr</t>
  </si>
  <si>
    <t>CPM 2 mg/5ml x 1 ขวด (60 ml.)</t>
  </si>
  <si>
    <t>0.35 mg/kg/day divied q 6-8 hr</t>
  </si>
  <si>
    <t>CETIRIZINE 5 mg/5ml x 1 ขวด (60 ml.)</t>
  </si>
  <si>
    <t>IBUPROFEN SUSP 100 mg/5ml x 1 ขวด</t>
  </si>
  <si>
    <t>5-10 mg/kg/dose q6-8 hr</t>
  </si>
  <si>
    <t>GLYCERYL GUAIACOLATE 100 mg/5ml x 1 ขวด</t>
  </si>
  <si>
    <t>HYOSCINE SYR 5 mg/5ml x 1 ขวด (30 ml.)</t>
  </si>
  <si>
    <t>SIMETHICONE drop 67 mg./ml. x 1 ขวด (15 ml.)</t>
  </si>
  <si>
    <t>TERBUTALINE SYRUP 1.5 mg/5ml x 1 ขวด</t>
  </si>
  <si>
    <t>DOMPERIDONE 5 mg/5ml x 1 ขวด (30 ml.)</t>
  </si>
  <si>
    <t>0.2-0.4 mg/kg/dose q 8 hr</t>
  </si>
  <si>
    <t>smecta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</si>
</sst>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0.0"/>
      <color rgb="FF000000"/>
      <name val="Arial"/>
      <scheme val="minor"/>
    </font>
    <font>
      <b/>
      <sz val="28.0"/>
      <color theme="1"/>
      <name val="TH SarabunPSK"/>
    </font>
    <font>
      <b/>
      <sz val="16.0"/>
      <color theme="1"/>
      <name val="TH SarabunPSK"/>
    </font>
    <font>
      <color theme="1"/>
      <name val="Arial"/>
      <scheme val="minor"/>
    </font>
    <font>
      <b/>
      <sz val="22.0"/>
      <color theme="1"/>
      <name val="TH SarabunPSK"/>
    </font>
    <font>
      <b/>
      <sz val="18.0"/>
      <color theme="1"/>
      <name val="TH SarabunPSK"/>
    </font>
    <font>
      <sz val="18.0"/>
      <color theme="1"/>
      <name val="TH SarabunPSK"/>
    </font>
    <font>
      <sz val="20.0"/>
      <color theme="1"/>
      <name val="Arial"/>
      <scheme val="minor"/>
    </font>
    <font>
      <sz val="15.0"/>
      <color theme="1"/>
      <name val="TH SarabunPSK"/>
    </font>
    <font>
      <sz val="16.0"/>
      <color theme="1"/>
      <name val="TH SarabunPSK"/>
    </font>
    <font>
      <b/>
      <sz val="18.0"/>
      <color rgb="FFFF0000"/>
      <name val="TH SarabunPSK"/>
    </font>
    <font>
      <sz val="17.0"/>
      <color theme="1"/>
      <name val="TH SarabunPSK"/>
    </font>
    <font>
      <b/>
      <sz val="15.0"/>
      <color theme="1"/>
      <name val="TH SarabunPSK"/>
    </font>
    <font>
      <sz val="14.0"/>
      <color theme="1"/>
      <name val="TH SarabunPSK"/>
    </font>
    <font>
      <sz val="14.0"/>
      <color rgb="FF000000"/>
      <name val="TH SarabunPSK"/>
    </font>
    <font>
      <sz val="14.0"/>
      <color rgb="FFFF0000"/>
      <name val="TH SarabunPSK"/>
    </font>
    <font>
      <sz val="14.0"/>
      <color rgb="FF202227"/>
      <name val="TH SarabunPSK"/>
    </font>
    <font>
      <b/>
      <color rgb="FF000000"/>
      <name val="WordVisi_MSFontService"/>
    </font>
    <font>
      <b/>
      <sz val="18.0"/>
      <color rgb="FF000000"/>
      <name val="TH SarabunPSK"/>
    </font>
  </fonts>
  <fills count="9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2" fontId="2" numFmtId="0" xfId="0" applyAlignment="1" applyFont="1">
      <alignment horizontal="center" readingOrder="0" shrinkToFit="0" vertical="center" wrapText="1"/>
    </xf>
    <xf borderId="0" fillId="3" fontId="2" numFmtId="0" xfId="0" applyAlignment="1" applyFill="1" applyFont="1">
      <alignment horizontal="center" readingOrder="0" shrinkToFit="0" vertical="center" wrapText="1"/>
    </xf>
    <xf borderId="0" fillId="3" fontId="2" numFmtId="4" xfId="0" applyAlignment="1" applyFont="1" applyNumberFormat="1">
      <alignment horizontal="center" readingOrder="0" shrinkToFit="0" vertical="center" wrapText="1"/>
    </xf>
    <xf borderId="0" fillId="2" fontId="2" numFmtId="2" xfId="0" applyAlignment="1" applyFont="1" applyNumberFormat="1">
      <alignment horizontal="center" readingOrder="0" shrinkToFit="0" vertical="center" wrapText="1"/>
    </xf>
    <xf borderId="0" fillId="4" fontId="2" numFmtId="0" xfId="0" applyAlignment="1" applyFill="1" applyFont="1">
      <alignment horizontal="center" readingOrder="0" shrinkToFit="0" vertical="center" wrapText="1"/>
    </xf>
    <xf borderId="0" fillId="4" fontId="2" numFmtId="0" xfId="0" applyAlignment="1" applyFont="1">
      <alignment readingOrder="0" shrinkToFit="0" vertical="center" wrapText="1"/>
    </xf>
    <xf borderId="0" fillId="4" fontId="2" numFmtId="4" xfId="0" applyAlignment="1" applyFont="1" applyNumberFormat="1">
      <alignment horizontal="center" readingOrder="0" shrinkToFit="0" vertical="center" wrapText="1"/>
    </xf>
    <xf borderId="0" fillId="5" fontId="2" numFmtId="2" xfId="0" applyAlignment="1" applyFill="1" applyFont="1" applyNumberFormat="1">
      <alignment horizontal="center" readingOrder="0" shrinkToFit="0" vertical="center" wrapText="1"/>
    </xf>
    <xf borderId="0" fillId="5" fontId="2" numFmtId="0" xfId="0" applyAlignment="1" applyFont="1">
      <alignment readingOrder="0" shrinkToFit="0" vertical="center" wrapText="1"/>
    </xf>
    <xf borderId="0" fillId="5" fontId="3" numFmtId="0" xfId="0" applyAlignment="1" applyFont="1">
      <alignment shrinkToFit="0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6" fontId="4" numFmtId="0" xfId="0" applyAlignment="1" applyFill="1" applyFon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shrinkToFit="0" vertical="center" wrapText="1"/>
    </xf>
    <xf borderId="0" fillId="7" fontId="4" numFmtId="2" xfId="0" applyAlignment="1" applyFill="1" applyFont="1" applyNumberFormat="1">
      <alignment horizontal="center" shrinkToFit="0" vertical="center" wrapText="1"/>
    </xf>
    <xf borderId="0" fillId="0" fontId="4" numFmtId="2" xfId="0" applyAlignment="1" applyFont="1" applyNumberForma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0" fillId="7" fontId="4" numFmtId="0" xfId="0" applyAlignment="1" applyFont="1">
      <alignment horizontal="center" shrinkToFit="0" vertical="center" wrapText="1"/>
    </xf>
    <xf borderId="0" fillId="0" fontId="3" numFmtId="0" xfId="0" applyAlignment="1" applyFont="1">
      <alignment readingOrder="0"/>
    </xf>
    <xf borderId="0" fillId="0" fontId="3" numFmtId="0" xfId="0" applyFont="1"/>
    <xf borderId="0" fillId="4" fontId="5" numFmtId="0" xfId="0" applyAlignment="1" applyFont="1">
      <alignment horizontal="center" readingOrder="0" shrinkToFit="0" wrapText="1"/>
    </xf>
    <xf borderId="0" fillId="4" fontId="6" numFmtId="0" xfId="0" applyAlignment="1" applyFont="1">
      <alignment horizontal="center" readingOrder="0" shrinkToFit="0" wrapText="1"/>
    </xf>
    <xf borderId="0" fillId="4" fontId="6" numFmtId="0" xfId="0" applyAlignment="1" applyFont="1">
      <alignment readingOrder="0" shrinkToFit="0" wrapText="1"/>
    </xf>
    <xf borderId="0" fillId="0" fontId="7" numFmtId="0" xfId="0" applyFont="1"/>
    <xf borderId="0" fillId="0" fontId="2" numFmtId="0" xfId="0" applyAlignment="1" applyFont="1">
      <alignment readingOrder="0" shrinkToFit="0" wrapText="1"/>
    </xf>
    <xf borderId="0" fillId="0" fontId="6" numFmtId="0" xfId="0" applyAlignment="1" applyFont="1">
      <alignment horizontal="center" readingOrder="0" shrinkToFit="0" wrapText="1"/>
    </xf>
    <xf borderId="0" fillId="0" fontId="6" numFmtId="0" xfId="0" applyAlignment="1" applyFont="1">
      <alignment readingOrder="0" shrinkToFit="0" wrapText="1"/>
    </xf>
    <xf borderId="0" fillId="0" fontId="8" numFmtId="0" xfId="0" applyAlignment="1" applyFont="1">
      <alignment shrinkToFit="0" wrapText="1"/>
    </xf>
    <xf borderId="0" fillId="0" fontId="8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9" numFmtId="0" xfId="0" applyAlignment="1" applyFont="1">
      <alignment readingOrder="0" shrinkToFit="0" wrapText="1"/>
    </xf>
    <xf borderId="0" fillId="0" fontId="10" numFmtId="0" xfId="0" applyAlignment="1" applyFont="1">
      <alignment readingOrder="0" shrinkToFit="0" wrapText="1"/>
    </xf>
    <xf borderId="0" fillId="0" fontId="11" numFmtId="0" xfId="0" applyAlignment="1" applyFont="1">
      <alignment readingOrder="0" shrinkToFit="0" wrapText="1"/>
    </xf>
    <xf borderId="0" fillId="0" fontId="12" numFmtId="0" xfId="0" applyAlignment="1" applyFont="1">
      <alignment readingOrder="0" shrinkToFit="0" wrapText="1"/>
    </xf>
    <xf borderId="0" fillId="0" fontId="8" numFmtId="0" xfId="0" applyAlignment="1" applyFont="1">
      <alignment horizontal="center" readingOrder="0" shrinkToFit="0" wrapText="1"/>
    </xf>
    <xf borderId="0" fillId="0" fontId="13" numFmtId="0" xfId="0" applyAlignment="1" applyFont="1">
      <alignment readingOrder="0" shrinkToFit="0" wrapText="1"/>
    </xf>
    <xf borderId="0" fillId="0" fontId="13" numFmtId="0" xfId="0" applyAlignment="1" applyFont="1">
      <alignment readingOrder="0"/>
    </xf>
    <xf borderId="0" fillId="0" fontId="13" numFmtId="0" xfId="0" applyFont="1"/>
    <xf borderId="0" fillId="8" fontId="14" numFmtId="0" xfId="0" applyAlignment="1" applyFill="1" applyFont="1">
      <alignment horizontal="left" readingOrder="0" shrinkToFit="0" wrapText="1"/>
    </xf>
    <xf borderId="0" fillId="0" fontId="14" numFmtId="0" xfId="0" applyAlignment="1" applyFont="1">
      <alignment readingOrder="0" shrinkToFit="0" wrapText="1"/>
    </xf>
    <xf borderId="0" fillId="8" fontId="14" numFmtId="0" xfId="0" applyAlignment="1" applyFont="1">
      <alignment horizontal="right" readingOrder="0" shrinkToFit="0" wrapText="1"/>
    </xf>
    <xf borderId="0" fillId="0" fontId="13" numFmtId="0" xfId="0" applyAlignment="1" applyFont="1">
      <alignment shrinkToFit="0" wrapText="1"/>
    </xf>
    <xf borderId="0" fillId="0" fontId="15" numFmtId="0" xfId="0" applyAlignment="1" applyFont="1">
      <alignment readingOrder="0" shrinkToFit="0" wrapText="1"/>
    </xf>
    <xf borderId="0" fillId="0" fontId="13" numFmtId="0" xfId="0" applyAlignment="1" applyFont="1">
      <alignment shrinkToFit="0" wrapText="1"/>
    </xf>
    <xf borderId="0" fillId="8" fontId="15" numFmtId="0" xfId="0" applyAlignment="1" applyFont="1">
      <alignment horizontal="left" readingOrder="0" shrinkToFit="0" wrapText="1"/>
    </xf>
    <xf borderId="0" fillId="0" fontId="14" numFmtId="0" xfId="0" applyAlignment="1" applyFont="1">
      <alignment horizontal="left" readingOrder="0" shrinkToFit="0" wrapText="1"/>
    </xf>
    <xf borderId="0" fillId="8" fontId="16" numFmtId="0" xfId="0" applyAlignment="1" applyFont="1">
      <alignment horizontal="right" readingOrder="0"/>
    </xf>
    <xf borderId="0" fillId="0" fontId="13" numFmtId="0" xfId="0" applyAlignment="1" applyFont="1">
      <alignment horizontal="left" readingOrder="0" shrinkToFit="0" wrapText="1"/>
    </xf>
    <xf borderId="0" fillId="0" fontId="13" numFmtId="0" xfId="0" applyAlignment="1" applyFont="1">
      <alignment readingOrder="0" shrinkToFit="0" vertical="center" wrapText="1"/>
    </xf>
    <xf borderId="0" fillId="0" fontId="17" numFmtId="0" xfId="0" applyAlignment="1" applyFont="1">
      <alignment horizontal="left" readingOrder="0" shrinkToFit="0" wrapText="1"/>
    </xf>
    <xf borderId="1" fillId="0" fontId="14" numFmtId="0" xfId="0" applyAlignment="1" applyBorder="1" applyFont="1">
      <alignment horizontal="left" readingOrder="0" shrinkToFit="0" vertical="top" wrapText="1"/>
    </xf>
    <xf borderId="0" fillId="0" fontId="18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5"/>
    <col customWidth="1" min="2" max="2" width="30.0"/>
    <col customWidth="1" min="3" max="3" width="23.63"/>
    <col customWidth="1" min="4" max="4" width="27.13"/>
    <col customWidth="1" min="5" max="5" width="20.63"/>
    <col customWidth="1" min="6" max="6" width="41.63"/>
    <col customWidth="1" min="7" max="7" width="21.0"/>
    <col customWidth="1" min="8" max="8" width="28.88"/>
    <col customWidth="1" min="9" max="9" width="39.5"/>
    <col customWidth="1" min="10" max="10" width="34.0"/>
  </cols>
  <sheetData>
    <row r="1" ht="46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ht="166.5" customHeight="1">
      <c r="A2" s="1" t="s">
        <v>9</v>
      </c>
      <c r="B2" s="3" t="s">
        <v>10</v>
      </c>
      <c r="C2" s="4">
        <v>160.0</v>
      </c>
      <c r="D2" s="4">
        <v>14.0</v>
      </c>
      <c r="E2" s="3">
        <v>2.0</v>
      </c>
      <c r="F2" s="2" t="str">
        <f t="array" ref="F2">XLOOKUP(B2,'ข้อมูลยา ห้ามแก้ไข'!$A$2:$A994,'ข้อมูลยา ห้ามแก้ไข'!$K$2:$K994,0)</f>
        <v>20-40 mg/kg/day divided q 6-8 hr</v>
      </c>
      <c r="G2" s="5">
        <f t="array" ref="G2">((((XLOOKUP($B$2,'ข้อมูลยา ห้ามแก้ไข'!$A$2:$A994,'ข้อมูลยา ห้ามแก้ไข'!$L$2:$L994,0))*$D$2))/(XLOOKUP($B$2,'ข้อมูลยา ห้ามแก้ไข'!$A$2:$A994,'ข้อมูลยา ห้ามแก้ไข'!$N$2:$N994,0)))</f>
        <v>93.33333333</v>
      </c>
      <c r="H2" s="5">
        <f t="array" ref="H2">((((XLOOKUP($B$2,'ข้อมูลยา ห้ามแก้ไข'!$A$2:$A994,'ข้อมูลยา ห้ามแก้ไข'!$M$2:$M994,0))*$D$2))/(XLOOKUP($B$2,'ข้อมูลยา ห้ามแก้ไข'!$A$2:$A994,'ข้อมูลยา ห้ามแก้ไข'!$N$2:$N994,0)))</f>
        <v>186.6666667</v>
      </c>
      <c r="I2" s="2" t="str">
        <f t="array" ref="I2">XLOOKUP(B2,'ข้อมูลยา ห้ามแก้ไข'!$A$2:$A994,'ข้อมูลยา ห้ามแก้ไข'!$O$2:$O994,0)</f>
        <v>ทุก 8 ชั่วโมง</v>
      </c>
    </row>
    <row r="3" ht="43.5" customHeight="1">
      <c r="A3" s="1"/>
      <c r="B3" s="6" t="s">
        <v>1</v>
      </c>
      <c r="C3" s="6" t="s">
        <v>2</v>
      </c>
      <c r="D3" s="6" t="s">
        <v>11</v>
      </c>
      <c r="E3" s="6" t="s">
        <v>12</v>
      </c>
      <c r="F3" s="6" t="s">
        <v>13</v>
      </c>
      <c r="G3" s="6" t="s">
        <v>14</v>
      </c>
      <c r="H3" s="6" t="s">
        <v>15</v>
      </c>
      <c r="I3" s="6" t="s">
        <v>16</v>
      </c>
      <c r="J3" s="7" t="s">
        <v>17</v>
      </c>
    </row>
    <row r="4" ht="46.5" customHeight="1">
      <c r="A4" s="1"/>
      <c r="B4" s="6" t="str">
        <f t="shared" ref="B4:C4" si="1">B2</f>
        <v>Clindamycin 600 mg/4ml</v>
      </c>
      <c r="C4" s="8">
        <f t="shared" si="1"/>
        <v>160</v>
      </c>
      <c r="D4" s="6">
        <f t="array" ref="D4">XLOOKUP(B4,'ข้อมูลยา ห้ามแก้ไข'!$A$2:$A994,'ข้อมูลยา ห้ามแก้ไข'!$B$2:$B994,0)</f>
        <v>0</v>
      </c>
      <c r="E4" s="9">
        <f t="array" ref="E4">C4/(XLOOKUP(B4,'ข้อมูลยา ห้ามแก้ไข'!$A$2:$A994,'ข้อมูลยา ห้ามแก้ไข'!$E$2:$E994,0))</f>
        <v>1.066666667</v>
      </c>
      <c r="F4" s="6" t="str">
        <f t="array" ref="F4">XLOOKUP(B4,'ข้อมูลยา ห้ามแก้ไข'!$A$2:$A994,'ข้อมูลยา ห้ามแก้ไข'!$F$2:$F994,0)</f>
        <v>D5W D10W NSS</v>
      </c>
      <c r="G4" s="9">
        <f t="array" ref="G4">(C4/(XLOOKUP(B4,'ข้อมูลยา ห้ามแก้ไข'!A2:A994,'ข้อมูลยา ห้ามแก้ไข'!H2:H994,"not found")))-E4</f>
        <v>25.6</v>
      </c>
      <c r="H4" s="9">
        <f>E4+G4</f>
        <v>26.66666667</v>
      </c>
      <c r="I4" s="10" t="str">
        <f t="array" ref="I4">XLOOKUP(B4,'ข้อมูลยา ห้ามแก้ไข'!$A$2:$A994,'ข้อมูลยา ห้ามแก้ไข'!$I$2:$I994,0)</f>
        <v>IV drip in 10-60 min not exceed 30 mg/min</v>
      </c>
      <c r="J4" s="11" t="str">
        <f t="array" ref="J4">XLOOKUP(B4,'ข้อมูลยา ห้ามแก้ไข'!A2:A994,'ข้อมูลยา ห้ามแก้ไข'!J2:J994,0)</f>
        <v/>
      </c>
    </row>
    <row r="5" ht="18.75" customHeight="1">
      <c r="A5" s="12"/>
      <c r="B5" s="12"/>
      <c r="C5" s="12"/>
      <c r="D5" s="12"/>
      <c r="E5" s="12"/>
      <c r="F5" s="12"/>
      <c r="G5" s="12"/>
      <c r="H5" s="12"/>
      <c r="I5" s="13"/>
    </row>
    <row r="6" ht="18.75" customHeight="1">
      <c r="A6" s="12"/>
      <c r="B6" s="12"/>
      <c r="C6" s="12"/>
      <c r="D6" s="12"/>
      <c r="E6" s="12"/>
      <c r="F6" s="12"/>
      <c r="G6" s="12"/>
      <c r="H6" s="12"/>
      <c r="I6" s="13"/>
    </row>
    <row r="7" ht="48.0" customHeight="1">
      <c r="A7" s="6" t="s">
        <v>1</v>
      </c>
      <c r="B7" s="6" t="s">
        <v>2</v>
      </c>
      <c r="C7" s="6" t="s">
        <v>11</v>
      </c>
      <c r="D7" s="6" t="s">
        <v>12</v>
      </c>
      <c r="E7" s="6" t="s">
        <v>13</v>
      </c>
      <c r="F7" s="6" t="s">
        <v>14</v>
      </c>
      <c r="G7" s="6" t="s">
        <v>15</v>
      </c>
      <c r="H7" s="6" t="s">
        <v>16</v>
      </c>
      <c r="I7" s="7" t="s">
        <v>17</v>
      </c>
    </row>
    <row r="8" ht="67.5" customHeight="1">
      <c r="A8" s="14" t="s">
        <v>18</v>
      </c>
      <c r="B8" s="14">
        <v>250.0</v>
      </c>
      <c r="C8" s="15" t="str">
        <f t="array" ref="C8">XLOOKUP(A8,'ข้อมูลยา ห้ามแก้ไข'!$A$2:$A994,'ข้อมูลยา ห้ามแก้ไข'!$B$2:$B994,0)</f>
        <v>NSS,SWI 5 ml</v>
      </c>
      <c r="D8" s="16">
        <f t="array" ref="D8">B8/(XLOOKUP(A8,'ข้อมูลยา ห้ามแก้ไข'!$A$2:$A994,'ข้อมูลยา ห้ามแก้ไข'!$E$2:$E994,0))</f>
        <v>2.5</v>
      </c>
      <c r="E8" s="17" t="str">
        <f t="array" ref="E8">XLOOKUP(A8,'ข้อมูลยา ห้ามแก้ไข'!$A$2:$A994,'ข้อมูลยา ห้ามแก้ไข'!$F$2:$F994,0)</f>
        <v>D5W</v>
      </c>
      <c r="F8" s="16">
        <f t="array" ref="F8">(B8/(XLOOKUP(A8,'ข้อมูลยา ห้ามแก้ไข'!A2:A994,'ข้อมูลยา ห้ามแก้ไข'!H2:H994,"not found")))-D8</f>
        <v>5.833333333</v>
      </c>
      <c r="G8" s="16">
        <f t="shared" ref="G8:G20" si="2">D8+F8</f>
        <v>8.333333333</v>
      </c>
      <c r="H8" s="18" t="str">
        <f t="array" ref="H8">XLOOKUP(A8,'ข้อมูลยา ห้ามแก้ไข'!$A$2:$A994,'ข้อมูลยา ห้ามแก้ไข'!$I$2:$I994,0)</f>
        <v>IV drip in 30 min</v>
      </c>
      <c r="I8" s="19" t="str">
        <f t="array" ref="I8">XLOOKUP(A8,'ข้อมูลยา ห้ามแก้ไข'!A2:A994,'ข้อมูลยา ห้ามแก้ไข'!J2:J994,0)</f>
        <v/>
      </c>
    </row>
    <row r="9" ht="65.25" customHeight="1">
      <c r="A9" s="14" t="s">
        <v>19</v>
      </c>
      <c r="B9" s="14">
        <v>700.0</v>
      </c>
      <c r="C9" s="15" t="str">
        <f t="array" ref="C9">XLOOKUP(A9,'ข้อมูลยา ห้ามแก้ไข'!$A$2:$A994,'ข้อมูลยา ห้ามแก้ไข'!$B$2:$B994,0)</f>
        <v>SWI 9.5 ml</v>
      </c>
      <c r="D9" s="16">
        <f t="array" ref="D9">B9/(XLOOKUP(A9,'ข้อมูลยา ห้ามแก้ไข'!$A$2:$A994,'ข้อมูลยา ห้ามแก้ไข'!$E$2:$E994,0))</f>
        <v>7</v>
      </c>
      <c r="E9" s="17" t="str">
        <f t="array" ref="E9">XLOOKUP(A9,'ข้อมูลยา ห้ามแก้ไข'!$A$2:$A994,'ข้อมูลยา ห้ามแก้ไข'!$F$2:$F994,0)</f>
        <v>NSS D5W D10W</v>
      </c>
      <c r="F9" s="16">
        <f t="array" ref="F9">(B9/(XLOOKUP(A9,'ข้อมูลยา ห้ามแก้ไข'!A3:A994,'ข้อมูลยา ห้ามแก้ไข'!H3:H994,"not found")))-D9</f>
        <v>63</v>
      </c>
      <c r="G9" s="16">
        <f t="shared" si="2"/>
        <v>70</v>
      </c>
      <c r="H9" s="18" t="str">
        <f t="array" ref="H9">XLOOKUP(A9,'ข้อมูลยา ห้ามแก้ไข'!$A$2:$A994,'ข้อมูลยา ห้ามแก้ไข'!$I$2:$I994,0)</f>
        <v>&lt;1 g IV drip in 30 min, &gt; 1 g  IV drip in 60 min</v>
      </c>
      <c r="I9" s="19" t="str">
        <f t="array" ref="I9">XLOOKUP(A9,'ข้อมูลยา ห้ามแก้ไข'!A3:A994,'ข้อมูลยา ห้ามแก้ไข'!J3:J994,0)</f>
        <v>น้อยกว่า 1 g เจือจางในสารน้ำ 30-50 ml, มากกว่า 1 g เจือจางในสารน้ำ 60-100 ml</v>
      </c>
    </row>
    <row r="10" ht="59.25" customHeight="1">
      <c r="A10" s="14"/>
      <c r="B10" s="14"/>
      <c r="C10" s="15">
        <f t="array" ref="C10">XLOOKUP(A10,'ข้อมูลยา ห้ามแก้ไข'!$A$2:$A994,'ข้อมูลยา ห้ามแก้ไข'!$B$2:$B994,0)</f>
        <v>0</v>
      </c>
      <c r="D10" s="16" t="str">
        <f t="array" ref="D10">B10/(XLOOKUP(A10,'ข้อมูลยา ห้ามแก้ไข'!$A$2:$A994,'ข้อมูลยา ห้ามแก้ไข'!$E$2:$E994,0))</f>
        <v>#DIV/0!</v>
      </c>
      <c r="E10" s="17">
        <f t="array" ref="E10">XLOOKUP(A10,'ข้อมูลยา ห้ามแก้ไข'!$A$2:$A994,'ข้อมูลยา ห้ามแก้ไข'!$F$2:$F994,0)</f>
        <v>0</v>
      </c>
      <c r="F10" s="20" t="str">
        <f t="array" ref="F10">(B10/(XLOOKUP(A10,'ข้อมูลยา ห้ามแก้ไข'!A3:A994,'ข้อมูลยา ห้ามแก้ไข'!H3:H994,"not found")))-D10</f>
        <v>#VALUE!</v>
      </c>
      <c r="G10" s="20" t="str">
        <f t="shared" si="2"/>
        <v>#DIV/0!</v>
      </c>
      <c r="H10" s="18">
        <f t="array" ref="H10">XLOOKUP(A10,'ข้อมูลยา ห้ามแก้ไข'!$A$2:$A994,'ข้อมูลยา ห้ามแก้ไข'!$I$2:$I994,0)</f>
        <v>0</v>
      </c>
      <c r="I10" s="19">
        <f t="array" ref="I10">XLOOKUP(A10,'ข้อมูลยา ห้ามแก้ไข'!A3:A994,'ข้อมูลยา ห้ามแก้ไข'!J3:J994,0)</f>
        <v>0</v>
      </c>
    </row>
    <row r="11" ht="66.0" customHeight="1">
      <c r="A11" s="14"/>
      <c r="B11" s="14"/>
      <c r="C11" s="15">
        <f t="array" ref="C11">XLOOKUP(A11,'ข้อมูลยา ห้ามแก้ไข'!$A$2:$A994,'ข้อมูลยา ห้ามแก้ไข'!$B$2:$B994,0)</f>
        <v>0</v>
      </c>
      <c r="D11" s="16" t="str">
        <f t="array" ref="D11">B11/(XLOOKUP(A11,'ข้อมูลยา ห้ามแก้ไข'!$A$2:$A994,'ข้อมูลยา ห้ามแก้ไข'!$E$2:$E994,0))</f>
        <v>#DIV/0!</v>
      </c>
      <c r="E11" s="17">
        <f t="array" ref="E11">XLOOKUP(A11,'ข้อมูลยา ห้ามแก้ไข'!$A$2:$A994,'ข้อมูลยา ห้ามแก้ไข'!$F$2:$F994,0)</f>
        <v>0</v>
      </c>
      <c r="F11" s="20" t="str">
        <f t="array" ref="F11">(B11/(XLOOKUP(A11,'ข้อมูลยา ห้ามแก้ไข'!A4:A994,'ข้อมูลยา ห้ามแก้ไข'!H4:H994,"not found")))-D11</f>
        <v>#VALUE!</v>
      </c>
      <c r="G11" s="20" t="str">
        <f t="shared" si="2"/>
        <v>#DIV/0!</v>
      </c>
      <c r="H11" s="18">
        <f t="array" ref="H11">XLOOKUP(A11,'ข้อมูลยา ห้ามแก้ไข'!$A$2:$A994,'ข้อมูลยา ห้ามแก้ไข'!$I$2:$I994,0)</f>
        <v>0</v>
      </c>
      <c r="I11" s="19">
        <f t="array" ref="I11">XLOOKUP(A11,'ข้อมูลยา ห้ามแก้ไข'!A4:A994,'ข้อมูลยา ห้ามแก้ไข'!J4:J994,0)</f>
        <v>0</v>
      </c>
    </row>
    <row r="12">
      <c r="A12" s="14"/>
      <c r="B12" s="14"/>
      <c r="C12" s="15">
        <f t="array" ref="C12">XLOOKUP(A12,'ข้อมูลยา ห้ามแก้ไข'!$A$2:$A994,'ข้อมูลยา ห้ามแก้ไข'!$B$2:$B994,0)</f>
        <v>0</v>
      </c>
      <c r="D12" s="16" t="str">
        <f t="array" ref="D12">B12/(XLOOKUP(A12,'ข้อมูลยา ห้ามแก้ไข'!$A$2:$A994,'ข้อมูลยา ห้ามแก้ไข'!$E$2:$E994,0))</f>
        <v>#DIV/0!</v>
      </c>
      <c r="E12" s="17">
        <f t="array" ref="E12">XLOOKUP(A12,'ข้อมูลยา ห้ามแก้ไข'!$A$2:$A994,'ข้อมูลยา ห้ามแก้ไข'!$F$2:$F994,0)</f>
        <v>0</v>
      </c>
      <c r="F12" s="20" t="str">
        <f t="array" ref="F12">(B12/(XLOOKUP(A12,'ข้อมูลยา ห้ามแก้ไข'!A5:A994,'ข้อมูลยา ห้ามแก้ไข'!H5:H994,"not found")))-D12</f>
        <v>#VALUE!</v>
      </c>
      <c r="G12" s="20" t="str">
        <f t="shared" si="2"/>
        <v>#DIV/0!</v>
      </c>
      <c r="H12" s="18">
        <f t="array" ref="H12">XLOOKUP(A12,'ข้อมูลยา ห้ามแก้ไข'!$A$2:$A994,'ข้อมูลยา ห้ามแก้ไข'!$I$2:$I994,0)</f>
        <v>0</v>
      </c>
      <c r="I12" s="19">
        <f t="array" ref="I12">XLOOKUP(A12,'ข้อมูลยา ห้ามแก้ไข'!A5:A994,'ข้อมูลยา ห้ามแก้ไข'!J5:J994,0)</f>
        <v>0</v>
      </c>
    </row>
    <row r="13">
      <c r="A13" s="14"/>
      <c r="B13" s="14"/>
      <c r="C13" s="15">
        <f t="array" ref="C13">XLOOKUP(A13,'ข้อมูลยา ห้ามแก้ไข'!$A$2:$A994,'ข้อมูลยา ห้ามแก้ไข'!$B$2:$B994,0)</f>
        <v>0</v>
      </c>
      <c r="D13" s="16" t="str">
        <f t="array" ref="D13">B13/(XLOOKUP(A13,'ข้อมูลยา ห้ามแก้ไข'!$A$2:$A994,'ข้อมูลยา ห้ามแก้ไข'!$E$2:$E994,0))</f>
        <v>#DIV/0!</v>
      </c>
      <c r="E13" s="17">
        <f t="array" ref="E13">XLOOKUP(A13,'ข้อมูลยา ห้ามแก้ไข'!$A$2:$A994,'ข้อมูลยา ห้ามแก้ไข'!$F$2:$F994,0)</f>
        <v>0</v>
      </c>
      <c r="F13" s="20" t="str">
        <f t="array" ref="F13">(B13/(XLOOKUP(A13,'ข้อมูลยา ห้ามแก้ไข'!A5:A994,'ข้อมูลยา ห้ามแก้ไข'!H5:H994,"not found")))-D13</f>
        <v>#VALUE!</v>
      </c>
      <c r="G13" s="20" t="str">
        <f t="shared" si="2"/>
        <v>#DIV/0!</v>
      </c>
      <c r="H13" s="18">
        <f t="array" ref="H13">XLOOKUP(A13,'ข้อมูลยา ห้ามแก้ไข'!$A$2:$A994,'ข้อมูลยา ห้ามแก้ไข'!$I$2:$I994,0)</f>
        <v>0</v>
      </c>
      <c r="I13" s="19">
        <f t="array" ref="I13">XLOOKUP(A13,'ข้อมูลยา ห้ามแก้ไข'!A5:A994,'ข้อมูลยา ห้ามแก้ไข'!J5:J994,0)</f>
        <v>0</v>
      </c>
    </row>
    <row r="14">
      <c r="A14" s="14"/>
      <c r="B14" s="14"/>
      <c r="C14" s="15">
        <f t="array" ref="C14">XLOOKUP(A14,'ข้อมูลยา ห้ามแก้ไข'!$A$2:$A994,'ข้อมูลยา ห้ามแก้ไข'!$B$2:$B994,0)</f>
        <v>0</v>
      </c>
      <c r="D14" s="16" t="str">
        <f t="array" ref="D14">B14/(XLOOKUP(A14,'ข้อมูลยา ห้ามแก้ไข'!$A$2:$A994,'ข้อมูลยา ห้ามแก้ไข'!$E$2:$E994,0))</f>
        <v>#DIV/0!</v>
      </c>
      <c r="E14" s="17">
        <f t="array" ref="E14">XLOOKUP(A14,'ข้อมูลยา ห้ามแก้ไข'!$A$2:$A994,'ข้อมูลยา ห้ามแก้ไข'!$F$2:$F994,0)</f>
        <v>0</v>
      </c>
      <c r="F14" s="20" t="str">
        <f t="array" ref="F14">(B14/(XLOOKUP(A14,'ข้อมูลยา ห้ามแก้ไข'!A6:A994,'ข้อมูลยา ห้ามแก้ไข'!H6:H994,"not found")))-D14</f>
        <v>#VALUE!</v>
      </c>
      <c r="G14" s="20" t="str">
        <f t="shared" si="2"/>
        <v>#DIV/0!</v>
      </c>
      <c r="H14" s="18">
        <f t="array" ref="H14">XLOOKUP(A14,'ข้อมูลยา ห้ามแก้ไข'!$A$2:$A994,'ข้อมูลยา ห้ามแก้ไข'!$I$2:$I994,0)</f>
        <v>0</v>
      </c>
      <c r="I14" s="19">
        <f t="array" ref="I14">XLOOKUP(A14,'ข้อมูลยา ห้ามแก้ไข'!A6:A994,'ข้อมูลยา ห้ามแก้ไข'!J6:J994,0)</f>
        <v>0</v>
      </c>
    </row>
    <row r="15">
      <c r="A15" s="14"/>
      <c r="B15" s="14"/>
      <c r="C15" s="15">
        <f t="array" ref="C15">XLOOKUP(A15,'ข้อมูลยา ห้ามแก้ไข'!$A$2:$A994,'ข้อมูลยา ห้ามแก้ไข'!$B$2:$B994,0)</f>
        <v>0</v>
      </c>
      <c r="D15" s="16" t="str">
        <f t="array" ref="D15">B15/(XLOOKUP(A15,'ข้อมูลยา ห้ามแก้ไข'!$A$2:$A994,'ข้อมูลยา ห้ามแก้ไข'!$E$2:$E994,0))</f>
        <v>#DIV/0!</v>
      </c>
      <c r="E15" s="17">
        <f t="array" ref="E15">XLOOKUP(A15,'ข้อมูลยา ห้ามแก้ไข'!$A$2:$A994,'ข้อมูลยา ห้ามแก้ไข'!$F$2:$F994,0)</f>
        <v>0</v>
      </c>
      <c r="F15" s="20" t="str">
        <f t="array" ref="F15">(B15/(XLOOKUP(A15,'ข้อมูลยา ห้ามแก้ไข'!A7:A994,'ข้อมูลยา ห้ามแก้ไข'!H7:H994,"not found")))-D15</f>
        <v>#VALUE!</v>
      </c>
      <c r="G15" s="20" t="str">
        <f t="shared" si="2"/>
        <v>#DIV/0!</v>
      </c>
      <c r="H15" s="18">
        <f t="array" ref="H15">XLOOKUP(A15,'ข้อมูลยา ห้ามแก้ไข'!$A$2:$A994,'ข้อมูลยา ห้ามแก้ไข'!$I$2:$I994,0)</f>
        <v>0</v>
      </c>
      <c r="I15" s="19">
        <f t="array" ref="I15">XLOOKUP(A15,'ข้อมูลยา ห้ามแก้ไข'!A7:A994,'ข้อมูลยา ห้ามแก้ไข'!J7:J994,0)</f>
        <v>0</v>
      </c>
    </row>
    <row r="16">
      <c r="A16" s="14"/>
      <c r="B16" s="14"/>
      <c r="C16" s="15">
        <f t="array" ref="C16">XLOOKUP(A16,'ข้อมูลยา ห้ามแก้ไข'!$A$2:$A994,'ข้อมูลยา ห้ามแก้ไข'!$B$2:$B994,0)</f>
        <v>0</v>
      </c>
      <c r="D16" s="16" t="str">
        <f t="array" ref="D16">B16/(XLOOKUP(A16,'ข้อมูลยา ห้ามแก้ไข'!$A$2:$A994,'ข้อมูลยา ห้ามแก้ไข'!$E$2:$E994,0))</f>
        <v>#DIV/0!</v>
      </c>
      <c r="E16" s="17">
        <f t="array" ref="E16">XLOOKUP(A16,'ข้อมูลยา ห้ามแก้ไข'!$A$2:$A994,'ข้อมูลยา ห้ามแก้ไข'!$F$2:$F994,0)</f>
        <v>0</v>
      </c>
      <c r="F16" s="20" t="str">
        <f t="array" ref="F16">(B16/(XLOOKUP(A16,'ข้อมูลยา ห้ามแก้ไข'!A8:A994,'ข้อมูลยา ห้ามแก้ไข'!H8:H994,"not found")))-D16</f>
        <v>#VALUE!</v>
      </c>
      <c r="G16" s="20" t="str">
        <f t="shared" si="2"/>
        <v>#DIV/0!</v>
      </c>
      <c r="H16" s="18">
        <f t="array" ref="H16">XLOOKUP(A16,'ข้อมูลยา ห้ามแก้ไข'!$A$2:$A994,'ข้อมูลยา ห้ามแก้ไข'!$I$2:$I994,0)</f>
        <v>0</v>
      </c>
      <c r="I16" s="19">
        <f t="array" ref="I16">XLOOKUP(A16,'ข้อมูลยา ห้ามแก้ไข'!A8:A994,'ข้อมูลยา ห้ามแก้ไข'!J8:J994,0)</f>
        <v>0</v>
      </c>
    </row>
    <row r="17">
      <c r="A17" s="14"/>
      <c r="B17" s="14"/>
      <c r="C17" s="15">
        <f t="array" ref="C17">XLOOKUP(A17,'ข้อมูลยา ห้ามแก้ไข'!$A$2:$A994,'ข้อมูลยา ห้ามแก้ไข'!$B$2:$B994,0)</f>
        <v>0</v>
      </c>
      <c r="D17" s="16" t="str">
        <f t="array" ref="D17">B17/(XLOOKUP(A17,'ข้อมูลยา ห้ามแก้ไข'!$A$2:$A994,'ข้อมูลยา ห้ามแก้ไข'!$E$2:$E994,0))</f>
        <v>#DIV/0!</v>
      </c>
      <c r="E17" s="17">
        <f t="array" ref="E17">XLOOKUP(A17,'ข้อมูลยา ห้ามแก้ไข'!$A$2:$A994,'ข้อมูลยา ห้ามแก้ไข'!$F$2:$F994,0)</f>
        <v>0</v>
      </c>
      <c r="F17" s="20" t="str">
        <f t="array" ref="F17">(B17/(XLOOKUP(A17,'ข้อมูลยา ห้ามแก้ไข'!A9:A994,'ข้อมูลยา ห้ามแก้ไข'!H9:H994,"not found")))-D17</f>
        <v>#VALUE!</v>
      </c>
      <c r="G17" s="20" t="str">
        <f t="shared" si="2"/>
        <v>#DIV/0!</v>
      </c>
      <c r="H17" s="18">
        <f t="array" ref="H17">XLOOKUP(A17,'ข้อมูลยา ห้ามแก้ไข'!$A$2:$A994,'ข้อมูลยา ห้ามแก้ไข'!$I$2:$I994,0)</f>
        <v>0</v>
      </c>
      <c r="I17" s="19">
        <f t="array" ref="I17">XLOOKUP(A17,'ข้อมูลยา ห้ามแก้ไข'!A9:A994,'ข้อมูลยา ห้ามแก้ไข'!J9:J994,0)</f>
        <v>0</v>
      </c>
    </row>
    <row r="18">
      <c r="A18" s="14"/>
      <c r="B18" s="14"/>
      <c r="C18" s="15">
        <f t="array" ref="C18">XLOOKUP(A18,'ข้อมูลยา ห้ามแก้ไข'!$A$2:$A994,'ข้อมูลยา ห้ามแก้ไข'!$B$2:$B994,0)</f>
        <v>0</v>
      </c>
      <c r="D18" s="16" t="str">
        <f t="array" ref="D18">B18/(XLOOKUP(A18,'ข้อมูลยา ห้ามแก้ไข'!$A$2:$A994,'ข้อมูลยา ห้ามแก้ไข'!$E$2:$E994,0))</f>
        <v>#DIV/0!</v>
      </c>
      <c r="E18" s="17">
        <f t="array" ref="E18">XLOOKUP(A18,'ข้อมูลยา ห้ามแก้ไข'!$A$2:$A994,'ข้อมูลยา ห้ามแก้ไข'!$F$2:$F994,0)</f>
        <v>0</v>
      </c>
      <c r="F18" s="20" t="str">
        <f t="array" ref="F18">(B18/(XLOOKUP(A18,'ข้อมูลยา ห้ามแก้ไข'!A10:A994,'ข้อมูลยา ห้ามแก้ไข'!H10:H994,"not found")))-D18</f>
        <v>#VALUE!</v>
      </c>
      <c r="G18" s="20" t="str">
        <f t="shared" si="2"/>
        <v>#DIV/0!</v>
      </c>
      <c r="H18" s="18">
        <f t="array" ref="H18">XLOOKUP(A18,'ข้อมูลยา ห้ามแก้ไข'!$A$2:$A994,'ข้อมูลยา ห้ามแก้ไข'!$I$2:$I994,0)</f>
        <v>0</v>
      </c>
      <c r="I18" s="19">
        <f t="array" ref="I18">XLOOKUP(A18,'ข้อมูลยา ห้ามแก้ไข'!A10:A994,'ข้อมูลยา ห้ามแก้ไข'!J10:J994,0)</f>
        <v>0</v>
      </c>
    </row>
    <row r="19">
      <c r="A19" s="14"/>
      <c r="B19" s="14"/>
      <c r="C19" s="15">
        <f t="array" ref="C19">XLOOKUP(A19,'ข้อมูลยา ห้ามแก้ไข'!$A$2:$A994,'ข้อมูลยา ห้ามแก้ไข'!$B$2:$B994,0)</f>
        <v>0</v>
      </c>
      <c r="D19" s="16" t="str">
        <f t="array" ref="D19">B19/(XLOOKUP(A19,'ข้อมูลยา ห้ามแก้ไข'!$A$2:$A994,'ข้อมูลยา ห้ามแก้ไข'!$E$2:$E994,0))</f>
        <v>#DIV/0!</v>
      </c>
      <c r="E19" s="17">
        <f t="array" ref="E19">XLOOKUP(A19,'ข้อมูลยา ห้ามแก้ไข'!$A$2:$A994,'ข้อมูลยา ห้ามแก้ไข'!$F$2:$F994,0)</f>
        <v>0</v>
      </c>
      <c r="F19" s="20" t="str">
        <f t="array" ref="F19">(B19/(XLOOKUP(A19,'ข้อมูลยา ห้ามแก้ไข'!A11:A994,'ข้อมูลยา ห้ามแก้ไข'!H11:H994,"not found")))-D19</f>
        <v>#VALUE!</v>
      </c>
      <c r="G19" s="20" t="str">
        <f t="shared" si="2"/>
        <v>#DIV/0!</v>
      </c>
      <c r="H19" s="18">
        <f t="array" ref="H19">XLOOKUP(A19,'ข้อมูลยา ห้ามแก้ไข'!$A$2:$A994,'ข้อมูลยา ห้ามแก้ไข'!$I$2:$I994,0)</f>
        <v>0</v>
      </c>
      <c r="I19" s="19">
        <f t="array" ref="I19">XLOOKUP(A19,'ข้อมูลยา ห้ามแก้ไข'!A11:A994,'ข้อมูลยา ห้ามแก้ไข'!J11:J994,0)</f>
        <v>0</v>
      </c>
    </row>
    <row r="20">
      <c r="A20" s="14"/>
      <c r="B20" s="14"/>
      <c r="C20" s="15">
        <f t="array" ref="C20">XLOOKUP(A20,'ข้อมูลยา ห้ามแก้ไข'!$A$2:$A994,'ข้อมูลยา ห้ามแก้ไข'!$B$2:$B994,0)</f>
        <v>0</v>
      </c>
      <c r="D20" s="16" t="str">
        <f t="array" ref="D20">B20/(XLOOKUP(A20,'ข้อมูลยา ห้ามแก้ไข'!$A$2:$A994,'ข้อมูลยา ห้ามแก้ไข'!$E$2:$E994,0))</f>
        <v>#DIV/0!</v>
      </c>
      <c r="E20" s="17">
        <f t="array" ref="E20">XLOOKUP(A20,'ข้อมูลยา ห้ามแก้ไข'!$A$2:$A994,'ข้อมูลยา ห้ามแก้ไข'!$F$2:$F994,0)</f>
        <v>0</v>
      </c>
      <c r="F20" s="20" t="str">
        <f t="array" ref="F20">(B20/(XLOOKUP(A20,'ข้อมูลยา ห้ามแก้ไข'!A12:A994,'ข้อมูลยา ห้ามแก้ไข'!H12:H994,"not found")))-D20</f>
        <v>#VALUE!</v>
      </c>
      <c r="G20" s="20" t="str">
        <f t="shared" si="2"/>
        <v>#DIV/0!</v>
      </c>
      <c r="H20" s="18">
        <f t="array" ref="H20">XLOOKUP(A20,'ข้อมูลยา ห้ามแก้ไข'!$A$2:$A994,'ข้อมูลยา ห้ามแก้ไข'!$I$2:$I994,0)</f>
        <v>0</v>
      </c>
      <c r="I20" s="19">
        <f t="array" ref="I20">XLOOKUP(A20,'ข้อมูลยา ห้ามแก้ไข'!A12:A994,'ข้อมูลยา ห้ามแก้ไข'!J12:J994,0)</f>
        <v>0</v>
      </c>
    </row>
    <row r="21">
      <c r="A21" s="21" t="s">
        <v>19</v>
      </c>
      <c r="B21" s="21">
        <v>700.0</v>
      </c>
    </row>
    <row r="22">
      <c r="A22" s="22"/>
    </row>
    <row r="23">
      <c r="A23" s="22"/>
    </row>
    <row r="24">
      <c r="A24" s="22"/>
    </row>
    <row r="25">
      <c r="A25" s="22"/>
    </row>
    <row r="26">
      <c r="A26" s="22"/>
    </row>
    <row r="27">
      <c r="A27" s="22"/>
    </row>
    <row r="28">
      <c r="A28" s="22"/>
    </row>
    <row r="29">
      <c r="A29" s="22"/>
    </row>
    <row r="30">
      <c r="A30" s="22"/>
    </row>
    <row r="31">
      <c r="A31" s="22"/>
    </row>
    <row r="32">
      <c r="A32" s="22"/>
    </row>
    <row r="33">
      <c r="A33" s="22"/>
    </row>
    <row r="34">
      <c r="A34" s="22"/>
    </row>
    <row r="35">
      <c r="A35" s="22"/>
    </row>
    <row r="36">
      <c r="A36" s="22"/>
    </row>
    <row r="37">
      <c r="A37" s="22"/>
    </row>
    <row r="38">
      <c r="A38" s="22"/>
    </row>
    <row r="39">
      <c r="A39" s="22"/>
    </row>
    <row r="40">
      <c r="A40" s="22"/>
    </row>
    <row r="41">
      <c r="A41" s="22"/>
    </row>
    <row r="42">
      <c r="A42" s="22"/>
    </row>
    <row r="43">
      <c r="A43" s="22"/>
    </row>
    <row r="44">
      <c r="A44" s="22"/>
    </row>
    <row r="45">
      <c r="A45" s="22"/>
    </row>
    <row r="46">
      <c r="A46" s="22"/>
    </row>
    <row r="47">
      <c r="A47" s="22"/>
    </row>
    <row r="48">
      <c r="A48" s="22"/>
    </row>
    <row r="49">
      <c r="A49" s="22"/>
    </row>
    <row r="50">
      <c r="A50" s="22"/>
    </row>
    <row r="51">
      <c r="A51" s="22"/>
    </row>
    <row r="52">
      <c r="A52" s="22"/>
    </row>
    <row r="53">
      <c r="A53" s="22"/>
    </row>
    <row r="54">
      <c r="A54" s="22"/>
    </row>
    <row r="55">
      <c r="A55" s="22"/>
    </row>
    <row r="56">
      <c r="A56" s="22"/>
    </row>
    <row r="57">
      <c r="A57" s="22"/>
    </row>
    <row r="58">
      <c r="A58" s="22"/>
    </row>
    <row r="59">
      <c r="A59" s="22"/>
    </row>
    <row r="60">
      <c r="A60" s="22"/>
    </row>
    <row r="61">
      <c r="A61" s="22"/>
    </row>
    <row r="62">
      <c r="A62" s="22"/>
    </row>
    <row r="63">
      <c r="A63" s="22"/>
    </row>
    <row r="64">
      <c r="A64" s="22"/>
    </row>
    <row r="65">
      <c r="A65" s="22"/>
    </row>
    <row r="66">
      <c r="A66" s="22"/>
    </row>
    <row r="67">
      <c r="A67" s="22"/>
    </row>
    <row r="68">
      <c r="A68" s="22"/>
    </row>
    <row r="69">
      <c r="A69" s="22"/>
    </row>
    <row r="70">
      <c r="A70" s="22"/>
    </row>
    <row r="71">
      <c r="A71" s="22"/>
    </row>
    <row r="72">
      <c r="A72" s="22"/>
    </row>
    <row r="73">
      <c r="A73" s="22"/>
    </row>
    <row r="74">
      <c r="A74" s="22"/>
    </row>
    <row r="75">
      <c r="A75" s="22"/>
    </row>
    <row r="76">
      <c r="A76" s="22"/>
    </row>
    <row r="77">
      <c r="A77" s="22"/>
    </row>
    <row r="78">
      <c r="A78" s="22"/>
    </row>
    <row r="79">
      <c r="A79" s="22"/>
    </row>
    <row r="80">
      <c r="A80" s="22"/>
    </row>
    <row r="81">
      <c r="A81" s="22"/>
    </row>
    <row r="82">
      <c r="A82" s="22"/>
    </row>
    <row r="83">
      <c r="A83" s="22"/>
    </row>
    <row r="84">
      <c r="A84" s="22"/>
    </row>
    <row r="85">
      <c r="A85" s="22"/>
    </row>
    <row r="86">
      <c r="A86" s="22"/>
    </row>
    <row r="87">
      <c r="A87" s="22"/>
    </row>
    <row r="88">
      <c r="A88" s="22"/>
    </row>
    <row r="89">
      <c r="A89" s="22"/>
    </row>
    <row r="90">
      <c r="A90" s="22"/>
    </row>
    <row r="91">
      <c r="A91" s="22"/>
    </row>
    <row r="92">
      <c r="A92" s="22"/>
    </row>
    <row r="93">
      <c r="A93" s="22"/>
    </row>
    <row r="94">
      <c r="A94" s="22"/>
    </row>
    <row r="95">
      <c r="A95" s="22"/>
    </row>
    <row r="96">
      <c r="A96" s="22"/>
    </row>
    <row r="97">
      <c r="A97" s="22"/>
    </row>
    <row r="98">
      <c r="A98" s="22"/>
    </row>
    <row r="99">
      <c r="A99" s="22"/>
    </row>
    <row r="100">
      <c r="A100" s="22"/>
    </row>
    <row r="101">
      <c r="A101" s="22"/>
    </row>
    <row r="102">
      <c r="A102" s="22"/>
    </row>
    <row r="103">
      <c r="A103" s="22"/>
    </row>
    <row r="104">
      <c r="A104" s="22"/>
    </row>
    <row r="105">
      <c r="A105" s="22"/>
    </row>
    <row r="106">
      <c r="A106" s="22"/>
    </row>
    <row r="107">
      <c r="A107" s="22"/>
    </row>
    <row r="108">
      <c r="A108" s="22"/>
    </row>
    <row r="109">
      <c r="A109" s="22"/>
    </row>
    <row r="110">
      <c r="A110" s="22"/>
    </row>
    <row r="111">
      <c r="A111" s="22"/>
    </row>
    <row r="112">
      <c r="A112" s="22"/>
    </row>
    <row r="113">
      <c r="A113" s="22"/>
    </row>
    <row r="114">
      <c r="A114" s="22"/>
    </row>
    <row r="115">
      <c r="A115" s="22"/>
    </row>
    <row r="116">
      <c r="A116" s="22"/>
    </row>
    <row r="117">
      <c r="A117" s="22"/>
    </row>
    <row r="118">
      <c r="A118" s="22"/>
    </row>
    <row r="119">
      <c r="A119" s="22"/>
    </row>
    <row r="120">
      <c r="A120" s="22"/>
    </row>
    <row r="121">
      <c r="A121" s="22"/>
    </row>
    <row r="122">
      <c r="A122" s="22"/>
    </row>
    <row r="123">
      <c r="A123" s="22"/>
    </row>
    <row r="124">
      <c r="A124" s="22"/>
    </row>
    <row r="125">
      <c r="A125" s="22"/>
    </row>
    <row r="126">
      <c r="A126" s="22"/>
    </row>
    <row r="127">
      <c r="A127" s="22"/>
    </row>
    <row r="128">
      <c r="A128" s="22"/>
    </row>
    <row r="129">
      <c r="A129" s="22"/>
    </row>
    <row r="130">
      <c r="A130" s="22"/>
    </row>
    <row r="131">
      <c r="A131" s="22"/>
    </row>
    <row r="132">
      <c r="A132" s="22"/>
    </row>
    <row r="133">
      <c r="A133" s="22"/>
    </row>
    <row r="134">
      <c r="A134" s="22"/>
    </row>
    <row r="135">
      <c r="A135" s="22"/>
    </row>
    <row r="136">
      <c r="A136" s="22"/>
    </row>
    <row r="137">
      <c r="A137" s="22"/>
    </row>
    <row r="138">
      <c r="A138" s="22"/>
    </row>
    <row r="139">
      <c r="A139" s="22"/>
    </row>
    <row r="140">
      <c r="A140" s="22"/>
    </row>
    <row r="141">
      <c r="A141" s="22"/>
    </row>
    <row r="142">
      <c r="A142" s="22"/>
    </row>
    <row r="143">
      <c r="A143" s="22"/>
    </row>
    <row r="144">
      <c r="A144" s="22"/>
    </row>
    <row r="145">
      <c r="A145" s="22"/>
    </row>
    <row r="146">
      <c r="A146" s="22"/>
    </row>
    <row r="147">
      <c r="A147" s="22"/>
    </row>
    <row r="148">
      <c r="A148" s="22"/>
    </row>
    <row r="149">
      <c r="A149" s="22"/>
    </row>
    <row r="150">
      <c r="A150" s="22"/>
    </row>
    <row r="151">
      <c r="A151" s="22"/>
    </row>
    <row r="152">
      <c r="A152" s="22"/>
    </row>
    <row r="153">
      <c r="A153" s="22"/>
    </row>
    <row r="154">
      <c r="A154" s="22"/>
    </row>
    <row r="155">
      <c r="A155" s="22"/>
    </row>
    <row r="156">
      <c r="A156" s="22"/>
    </row>
    <row r="157">
      <c r="A157" s="22"/>
    </row>
    <row r="158">
      <c r="A158" s="22"/>
    </row>
    <row r="159">
      <c r="A159" s="22"/>
    </row>
    <row r="160">
      <c r="A160" s="22"/>
    </row>
    <row r="161">
      <c r="A161" s="22"/>
    </row>
    <row r="162">
      <c r="A162" s="22"/>
    </row>
    <row r="163">
      <c r="A163" s="22"/>
    </row>
    <row r="164">
      <c r="A164" s="22"/>
    </row>
    <row r="165">
      <c r="A165" s="22"/>
    </row>
    <row r="166">
      <c r="A166" s="22"/>
    </row>
    <row r="167">
      <c r="A167" s="22"/>
    </row>
    <row r="168">
      <c r="A168" s="22"/>
    </row>
    <row r="169">
      <c r="A169" s="22"/>
    </row>
    <row r="170">
      <c r="A170" s="22"/>
    </row>
    <row r="171">
      <c r="A171" s="22"/>
    </row>
    <row r="172">
      <c r="A172" s="22"/>
    </row>
    <row r="173">
      <c r="A173" s="22"/>
    </row>
    <row r="174">
      <c r="A174" s="22"/>
    </row>
    <row r="175">
      <c r="A175" s="22"/>
    </row>
    <row r="176">
      <c r="A176" s="22"/>
    </row>
    <row r="177">
      <c r="A177" s="22"/>
    </row>
    <row r="178">
      <c r="A178" s="22"/>
    </row>
    <row r="179">
      <c r="A179" s="22"/>
    </row>
    <row r="180">
      <c r="A180" s="22"/>
    </row>
    <row r="181">
      <c r="A181" s="22"/>
    </row>
    <row r="182">
      <c r="A182" s="22"/>
    </row>
    <row r="183">
      <c r="A183" s="22"/>
    </row>
    <row r="184">
      <c r="A184" s="22"/>
    </row>
    <row r="185">
      <c r="A185" s="22"/>
    </row>
    <row r="186">
      <c r="A186" s="22"/>
    </row>
    <row r="187">
      <c r="A187" s="22"/>
    </row>
    <row r="188">
      <c r="A188" s="22"/>
    </row>
    <row r="189">
      <c r="A189" s="22"/>
    </row>
    <row r="190">
      <c r="A190" s="22"/>
    </row>
    <row r="191">
      <c r="A191" s="22"/>
    </row>
    <row r="192">
      <c r="A192" s="22"/>
    </row>
    <row r="193">
      <c r="A193" s="22"/>
    </row>
    <row r="194">
      <c r="A194" s="22"/>
    </row>
    <row r="195">
      <c r="A195" s="22"/>
    </row>
    <row r="196">
      <c r="A196" s="22"/>
    </row>
    <row r="197">
      <c r="A197" s="22"/>
    </row>
    <row r="198">
      <c r="A198" s="22"/>
    </row>
    <row r="199">
      <c r="A199" s="22"/>
    </row>
    <row r="200">
      <c r="A200" s="22"/>
    </row>
    <row r="201">
      <c r="A201" s="22"/>
    </row>
    <row r="202">
      <c r="A202" s="22"/>
    </row>
    <row r="203">
      <c r="A203" s="22"/>
    </row>
    <row r="204">
      <c r="A204" s="22"/>
    </row>
    <row r="205">
      <c r="A205" s="22"/>
    </row>
    <row r="206">
      <c r="A206" s="22"/>
    </row>
    <row r="207">
      <c r="A207" s="22"/>
    </row>
    <row r="208">
      <c r="A208" s="22"/>
    </row>
    <row r="209">
      <c r="A209" s="22"/>
    </row>
    <row r="210">
      <c r="A210" s="22"/>
    </row>
    <row r="211">
      <c r="A211" s="22"/>
    </row>
    <row r="212">
      <c r="A212" s="22"/>
    </row>
    <row r="213">
      <c r="A213" s="22"/>
    </row>
    <row r="214">
      <c r="A214" s="22"/>
    </row>
    <row r="215">
      <c r="A215" s="22"/>
    </row>
    <row r="216">
      <c r="A216" s="22"/>
    </row>
    <row r="217">
      <c r="A217" s="22"/>
    </row>
    <row r="218">
      <c r="A218" s="22"/>
    </row>
    <row r="219">
      <c r="A219" s="22"/>
    </row>
    <row r="220">
      <c r="A220" s="22"/>
    </row>
    <row r="221">
      <c r="A221" s="22"/>
    </row>
    <row r="222">
      <c r="A222" s="22"/>
    </row>
    <row r="223">
      <c r="A223" s="22"/>
    </row>
    <row r="224">
      <c r="A224" s="22"/>
    </row>
    <row r="225">
      <c r="A225" s="22"/>
    </row>
    <row r="226">
      <c r="A226" s="22"/>
    </row>
    <row r="227">
      <c r="A227" s="22"/>
    </row>
    <row r="228">
      <c r="A228" s="22"/>
    </row>
    <row r="229">
      <c r="A229" s="22"/>
    </row>
    <row r="230">
      <c r="A230" s="22"/>
    </row>
    <row r="231">
      <c r="A231" s="22"/>
    </row>
    <row r="232">
      <c r="A232" s="22"/>
    </row>
    <row r="233">
      <c r="A233" s="22"/>
    </row>
    <row r="234">
      <c r="A234" s="22"/>
    </row>
    <row r="235">
      <c r="A235" s="22"/>
    </row>
    <row r="236">
      <c r="A236" s="22"/>
    </row>
    <row r="237">
      <c r="A237" s="22"/>
    </row>
    <row r="238">
      <c r="A238" s="22"/>
    </row>
    <row r="239">
      <c r="A239" s="22"/>
    </row>
    <row r="240">
      <c r="A240" s="22"/>
    </row>
    <row r="241">
      <c r="A241" s="22"/>
    </row>
    <row r="242">
      <c r="A242" s="22"/>
    </row>
    <row r="243">
      <c r="A243" s="22"/>
    </row>
    <row r="244">
      <c r="A244" s="22"/>
    </row>
    <row r="245">
      <c r="A245" s="22"/>
    </row>
    <row r="246">
      <c r="A246" s="22"/>
    </row>
    <row r="247">
      <c r="A247" s="22"/>
    </row>
    <row r="248">
      <c r="A248" s="22"/>
    </row>
    <row r="249">
      <c r="A249" s="22"/>
    </row>
    <row r="250">
      <c r="A250" s="22"/>
    </row>
    <row r="251">
      <c r="A251" s="22"/>
    </row>
    <row r="252">
      <c r="A252" s="22"/>
    </row>
    <row r="253">
      <c r="A253" s="22"/>
    </row>
    <row r="254">
      <c r="A254" s="22"/>
    </row>
    <row r="255">
      <c r="A255" s="22"/>
    </row>
    <row r="256">
      <c r="A256" s="22"/>
    </row>
    <row r="257">
      <c r="A257" s="22"/>
    </row>
    <row r="258">
      <c r="A258" s="22"/>
    </row>
    <row r="259">
      <c r="A259" s="22"/>
    </row>
    <row r="260">
      <c r="A260" s="22"/>
    </row>
    <row r="261">
      <c r="A261" s="22"/>
    </row>
    <row r="262">
      <c r="A262" s="22"/>
    </row>
    <row r="263">
      <c r="A263" s="22"/>
    </row>
    <row r="264">
      <c r="A264" s="22"/>
    </row>
    <row r="265">
      <c r="A265" s="22"/>
    </row>
    <row r="266">
      <c r="A266" s="22"/>
    </row>
    <row r="267">
      <c r="A267" s="22"/>
    </row>
    <row r="268">
      <c r="A268" s="22"/>
    </row>
    <row r="269">
      <c r="A269" s="22"/>
    </row>
    <row r="270">
      <c r="A270" s="22"/>
    </row>
    <row r="271">
      <c r="A271" s="22"/>
    </row>
    <row r="272">
      <c r="A272" s="22"/>
    </row>
    <row r="273">
      <c r="A273" s="22"/>
    </row>
    <row r="274">
      <c r="A274" s="22"/>
    </row>
    <row r="275">
      <c r="A275" s="22"/>
    </row>
    <row r="276">
      <c r="A276" s="22"/>
    </row>
    <row r="277">
      <c r="A277" s="22"/>
    </row>
    <row r="278">
      <c r="A278" s="22"/>
    </row>
    <row r="279">
      <c r="A279" s="22"/>
    </row>
    <row r="280">
      <c r="A280" s="22"/>
    </row>
    <row r="281">
      <c r="A281" s="22"/>
    </row>
    <row r="282">
      <c r="A282" s="22"/>
    </row>
    <row r="283">
      <c r="A283" s="22"/>
    </row>
    <row r="284">
      <c r="A284" s="22"/>
    </row>
    <row r="285">
      <c r="A285" s="22"/>
    </row>
    <row r="286">
      <c r="A286" s="22"/>
    </row>
    <row r="287">
      <c r="A287" s="22"/>
    </row>
    <row r="288">
      <c r="A288" s="22"/>
    </row>
    <row r="289">
      <c r="A289" s="22"/>
    </row>
    <row r="290">
      <c r="A290" s="22"/>
    </row>
    <row r="291">
      <c r="A291" s="22"/>
    </row>
    <row r="292">
      <c r="A292" s="22"/>
    </row>
    <row r="293">
      <c r="A293" s="22"/>
    </row>
    <row r="294">
      <c r="A294" s="22"/>
    </row>
    <row r="295">
      <c r="A295" s="22"/>
    </row>
    <row r="296">
      <c r="A296" s="22"/>
    </row>
    <row r="297">
      <c r="A297" s="22"/>
    </row>
    <row r="298">
      <c r="A298" s="22"/>
    </row>
    <row r="299">
      <c r="A299" s="22"/>
    </row>
    <row r="300">
      <c r="A300" s="22"/>
    </row>
    <row r="301">
      <c r="A301" s="22"/>
    </row>
    <row r="302">
      <c r="A302" s="22"/>
    </row>
    <row r="303">
      <c r="A303" s="22"/>
    </row>
    <row r="304">
      <c r="A304" s="22"/>
    </row>
    <row r="305">
      <c r="A305" s="22"/>
    </row>
    <row r="306">
      <c r="A306" s="22"/>
    </row>
    <row r="307">
      <c r="A307" s="22"/>
    </row>
    <row r="308">
      <c r="A308" s="22"/>
    </row>
    <row r="309">
      <c r="A309" s="22"/>
    </row>
    <row r="310">
      <c r="A310" s="22"/>
    </row>
    <row r="311">
      <c r="A311" s="22"/>
    </row>
    <row r="312">
      <c r="A312" s="22"/>
    </row>
    <row r="313">
      <c r="A313" s="22"/>
    </row>
    <row r="314">
      <c r="A314" s="22"/>
    </row>
    <row r="315">
      <c r="A315" s="22"/>
    </row>
    <row r="316">
      <c r="A316" s="22"/>
    </row>
    <row r="317">
      <c r="A317" s="22"/>
    </row>
    <row r="318">
      <c r="A318" s="22"/>
    </row>
    <row r="319">
      <c r="A319" s="22"/>
    </row>
    <row r="320">
      <c r="A320" s="22"/>
    </row>
    <row r="321">
      <c r="A321" s="22"/>
    </row>
    <row r="322">
      <c r="A322" s="22"/>
    </row>
    <row r="323">
      <c r="A323" s="22"/>
    </row>
    <row r="324">
      <c r="A324" s="22"/>
    </row>
    <row r="325">
      <c r="A325" s="22"/>
    </row>
    <row r="326">
      <c r="A326" s="22"/>
    </row>
    <row r="327">
      <c r="A327" s="22"/>
    </row>
    <row r="328">
      <c r="A328" s="22"/>
    </row>
    <row r="329">
      <c r="A329" s="22"/>
    </row>
    <row r="330">
      <c r="A330" s="22"/>
    </row>
    <row r="331">
      <c r="A331" s="22"/>
    </row>
    <row r="332">
      <c r="A332" s="22"/>
    </row>
    <row r="333">
      <c r="A333" s="22"/>
    </row>
    <row r="334">
      <c r="A334" s="22"/>
    </row>
    <row r="335">
      <c r="A335" s="22"/>
    </row>
    <row r="336">
      <c r="A336" s="22"/>
    </row>
    <row r="337">
      <c r="A337" s="22"/>
    </row>
    <row r="338">
      <c r="A338" s="22"/>
    </row>
    <row r="339">
      <c r="A339" s="22"/>
    </row>
    <row r="340">
      <c r="A340" s="22"/>
    </row>
    <row r="341">
      <c r="A341" s="22"/>
    </row>
    <row r="342">
      <c r="A342" s="22"/>
    </row>
    <row r="343">
      <c r="A343" s="22"/>
    </row>
    <row r="344">
      <c r="A344" s="22"/>
    </row>
    <row r="345">
      <c r="A345" s="22"/>
    </row>
    <row r="346">
      <c r="A346" s="22"/>
    </row>
    <row r="347">
      <c r="A347" s="22"/>
    </row>
    <row r="348">
      <c r="A348" s="22"/>
    </row>
    <row r="349">
      <c r="A349" s="22"/>
    </row>
    <row r="350">
      <c r="A350" s="22"/>
    </row>
    <row r="351">
      <c r="A351" s="22"/>
    </row>
    <row r="352">
      <c r="A352" s="22"/>
    </row>
    <row r="353">
      <c r="A353" s="22"/>
    </row>
    <row r="354">
      <c r="A354" s="22"/>
    </row>
    <row r="355">
      <c r="A355" s="22"/>
    </row>
    <row r="356">
      <c r="A356" s="22"/>
    </row>
    <row r="357">
      <c r="A357" s="22"/>
    </row>
    <row r="358">
      <c r="A358" s="22"/>
    </row>
    <row r="359">
      <c r="A359" s="22"/>
    </row>
    <row r="360">
      <c r="A360" s="22"/>
    </row>
    <row r="361">
      <c r="A361" s="22"/>
    </row>
    <row r="362">
      <c r="A362" s="22"/>
    </row>
    <row r="363">
      <c r="A363" s="22"/>
    </row>
    <row r="364">
      <c r="A364" s="22"/>
    </row>
    <row r="365">
      <c r="A365" s="22"/>
    </row>
    <row r="366">
      <c r="A366" s="22"/>
    </row>
    <row r="367">
      <c r="A367" s="22"/>
    </row>
    <row r="368">
      <c r="A368" s="22"/>
    </row>
    <row r="369">
      <c r="A369" s="22"/>
    </row>
    <row r="370">
      <c r="A370" s="22"/>
    </row>
    <row r="371">
      <c r="A371" s="22"/>
    </row>
    <row r="372">
      <c r="A372" s="22"/>
    </row>
    <row r="373">
      <c r="A373" s="22"/>
    </row>
    <row r="374">
      <c r="A374" s="22"/>
    </row>
    <row r="375">
      <c r="A375" s="22"/>
    </row>
    <row r="376">
      <c r="A376" s="22"/>
    </row>
    <row r="377">
      <c r="A377" s="22"/>
    </row>
    <row r="378">
      <c r="A378" s="22"/>
    </row>
    <row r="379">
      <c r="A379" s="22"/>
    </row>
    <row r="380">
      <c r="A380" s="22"/>
    </row>
    <row r="381">
      <c r="A381" s="22"/>
    </row>
    <row r="382">
      <c r="A382" s="22"/>
    </row>
    <row r="383">
      <c r="A383" s="22"/>
    </row>
    <row r="384">
      <c r="A384" s="22"/>
    </row>
    <row r="385">
      <c r="A385" s="22"/>
    </row>
    <row r="386">
      <c r="A386" s="22"/>
    </row>
    <row r="387">
      <c r="A387" s="22"/>
    </row>
    <row r="388">
      <c r="A388" s="22"/>
    </row>
    <row r="389">
      <c r="A389" s="22"/>
    </row>
    <row r="390">
      <c r="A390" s="22"/>
    </row>
    <row r="391">
      <c r="A391" s="22"/>
    </row>
    <row r="392">
      <c r="A392" s="22"/>
    </row>
    <row r="393">
      <c r="A393" s="22"/>
    </row>
    <row r="394">
      <c r="A394" s="22"/>
    </row>
    <row r="395">
      <c r="A395" s="22"/>
    </row>
    <row r="396">
      <c r="A396" s="22"/>
    </row>
    <row r="397">
      <c r="A397" s="22"/>
    </row>
    <row r="398">
      <c r="A398" s="22"/>
    </row>
    <row r="399">
      <c r="A399" s="22"/>
    </row>
    <row r="400">
      <c r="A400" s="22"/>
    </row>
    <row r="401">
      <c r="A401" s="22"/>
    </row>
    <row r="402">
      <c r="A402" s="22"/>
    </row>
    <row r="403">
      <c r="A403" s="22"/>
    </row>
    <row r="404">
      <c r="A404" s="22"/>
    </row>
    <row r="405">
      <c r="A405" s="22"/>
    </row>
    <row r="406">
      <c r="A406" s="22"/>
    </row>
    <row r="407">
      <c r="A407" s="22"/>
    </row>
    <row r="408">
      <c r="A408" s="22"/>
    </row>
    <row r="409">
      <c r="A409" s="22"/>
    </row>
    <row r="410">
      <c r="A410" s="22"/>
    </row>
    <row r="411">
      <c r="A411" s="22"/>
    </row>
    <row r="412">
      <c r="A412" s="22"/>
    </row>
    <row r="413">
      <c r="A413" s="22"/>
    </row>
    <row r="414">
      <c r="A414" s="22"/>
    </row>
    <row r="415">
      <c r="A415" s="22"/>
    </row>
    <row r="416">
      <c r="A416" s="22"/>
    </row>
    <row r="417">
      <c r="A417" s="22"/>
    </row>
    <row r="418">
      <c r="A418" s="22"/>
    </row>
    <row r="419">
      <c r="A419" s="22"/>
    </row>
    <row r="420">
      <c r="A420" s="22"/>
    </row>
    <row r="421">
      <c r="A421" s="22"/>
    </row>
    <row r="422">
      <c r="A422" s="22"/>
    </row>
    <row r="423">
      <c r="A423" s="22"/>
    </row>
    <row r="424">
      <c r="A424" s="22"/>
    </row>
    <row r="425">
      <c r="A425" s="22"/>
    </row>
    <row r="426">
      <c r="A426" s="22"/>
    </row>
    <row r="427">
      <c r="A427" s="22"/>
    </row>
    <row r="428">
      <c r="A428" s="22"/>
    </row>
    <row r="429">
      <c r="A429" s="22"/>
    </row>
    <row r="430">
      <c r="A430" s="22"/>
    </row>
    <row r="431">
      <c r="A431" s="22"/>
    </row>
    <row r="432">
      <c r="A432" s="22"/>
    </row>
    <row r="433">
      <c r="A433" s="22"/>
    </row>
    <row r="434">
      <c r="A434" s="22"/>
    </row>
    <row r="435">
      <c r="A435" s="22"/>
    </row>
    <row r="436">
      <c r="A436" s="22"/>
    </row>
    <row r="437">
      <c r="A437" s="22"/>
    </row>
    <row r="438">
      <c r="A438" s="22"/>
    </row>
    <row r="439">
      <c r="A439" s="22"/>
    </row>
    <row r="440">
      <c r="A440" s="22"/>
    </row>
    <row r="441">
      <c r="A441" s="22"/>
    </row>
    <row r="442">
      <c r="A442" s="22"/>
    </row>
    <row r="443">
      <c r="A443" s="22"/>
    </row>
    <row r="444">
      <c r="A444" s="22"/>
    </row>
    <row r="445">
      <c r="A445" s="22"/>
    </row>
    <row r="446">
      <c r="A446" s="22"/>
    </row>
    <row r="447">
      <c r="A447" s="22"/>
    </row>
    <row r="448">
      <c r="A448" s="22"/>
    </row>
    <row r="449">
      <c r="A449" s="22"/>
    </row>
    <row r="450">
      <c r="A450" s="22"/>
    </row>
    <row r="451">
      <c r="A451" s="22"/>
    </row>
    <row r="452">
      <c r="A452" s="22"/>
    </row>
    <row r="453">
      <c r="A453" s="22"/>
    </row>
    <row r="454">
      <c r="A454" s="22"/>
    </row>
    <row r="455">
      <c r="A455" s="22"/>
    </row>
    <row r="456">
      <c r="A456" s="22"/>
    </row>
    <row r="457">
      <c r="A457" s="22"/>
    </row>
    <row r="458">
      <c r="A458" s="22"/>
    </row>
    <row r="459">
      <c r="A459" s="22"/>
    </row>
    <row r="460">
      <c r="A460" s="22"/>
    </row>
    <row r="461">
      <c r="A461" s="22"/>
    </row>
    <row r="462">
      <c r="A462" s="22"/>
    </row>
    <row r="463">
      <c r="A463" s="22"/>
    </row>
    <row r="464">
      <c r="A464" s="22"/>
    </row>
    <row r="465">
      <c r="A465" s="22"/>
    </row>
    <row r="466">
      <c r="A466" s="22"/>
    </row>
    <row r="467">
      <c r="A467" s="22"/>
    </row>
    <row r="468">
      <c r="A468" s="22"/>
    </row>
    <row r="469">
      <c r="A469" s="22"/>
    </row>
    <row r="470">
      <c r="A470" s="22"/>
    </row>
    <row r="471">
      <c r="A471" s="22"/>
    </row>
    <row r="472">
      <c r="A472" s="22"/>
    </row>
    <row r="473">
      <c r="A473" s="22"/>
    </row>
    <row r="474">
      <c r="A474" s="22"/>
    </row>
    <row r="475">
      <c r="A475" s="22"/>
    </row>
    <row r="476">
      <c r="A476" s="22"/>
    </row>
    <row r="477">
      <c r="A477" s="22"/>
    </row>
    <row r="478">
      <c r="A478" s="22"/>
    </row>
    <row r="479">
      <c r="A479" s="22"/>
    </row>
    <row r="480">
      <c r="A480" s="22"/>
    </row>
    <row r="481">
      <c r="A481" s="22"/>
    </row>
    <row r="482">
      <c r="A482" s="22"/>
    </row>
    <row r="483">
      <c r="A483" s="22"/>
    </row>
    <row r="484">
      <c r="A484" s="22"/>
    </row>
    <row r="485">
      <c r="A485" s="22"/>
    </row>
    <row r="486">
      <c r="A486" s="22"/>
    </row>
    <row r="487">
      <c r="A487" s="22"/>
    </row>
    <row r="488">
      <c r="A488" s="22"/>
    </row>
    <row r="489">
      <c r="A489" s="22"/>
    </row>
    <row r="490">
      <c r="A490" s="22"/>
    </row>
    <row r="491">
      <c r="A491" s="22"/>
    </row>
    <row r="492">
      <c r="A492" s="22"/>
    </row>
    <row r="493">
      <c r="A493" s="22"/>
    </row>
    <row r="494">
      <c r="A494" s="22"/>
    </row>
    <row r="495">
      <c r="A495" s="22"/>
    </row>
    <row r="496">
      <c r="A496" s="22"/>
    </row>
    <row r="497">
      <c r="A497" s="22"/>
    </row>
    <row r="498">
      <c r="A498" s="22"/>
    </row>
    <row r="499">
      <c r="A499" s="22"/>
    </row>
    <row r="500">
      <c r="A500" s="22"/>
    </row>
    <row r="501">
      <c r="A501" s="22"/>
    </row>
    <row r="502">
      <c r="A502" s="22"/>
    </row>
    <row r="503">
      <c r="A503" s="22"/>
    </row>
    <row r="504">
      <c r="A504" s="22"/>
    </row>
    <row r="505">
      <c r="A505" s="22"/>
    </row>
    <row r="506">
      <c r="A506" s="22"/>
    </row>
    <row r="507">
      <c r="A507" s="22"/>
    </row>
    <row r="508">
      <c r="A508" s="22"/>
    </row>
    <row r="509">
      <c r="A509" s="22"/>
    </row>
    <row r="510">
      <c r="A510" s="22"/>
    </row>
    <row r="511">
      <c r="A511" s="22"/>
    </row>
    <row r="512">
      <c r="A512" s="22"/>
    </row>
    <row r="513">
      <c r="A513" s="22"/>
    </row>
    <row r="514">
      <c r="A514" s="22"/>
    </row>
    <row r="515">
      <c r="A515" s="22"/>
    </row>
    <row r="516">
      <c r="A516" s="22"/>
    </row>
    <row r="517">
      <c r="A517" s="22"/>
    </row>
    <row r="518">
      <c r="A518" s="22"/>
    </row>
    <row r="519">
      <c r="A519" s="22"/>
    </row>
    <row r="520">
      <c r="A520" s="22"/>
    </row>
    <row r="521">
      <c r="A521" s="22"/>
    </row>
    <row r="522">
      <c r="A522" s="22"/>
    </row>
    <row r="523">
      <c r="A523" s="22"/>
    </row>
    <row r="524">
      <c r="A524" s="22"/>
    </row>
    <row r="525">
      <c r="A525" s="22"/>
    </row>
    <row r="526">
      <c r="A526" s="22"/>
    </row>
    <row r="527">
      <c r="A527" s="22"/>
    </row>
    <row r="528">
      <c r="A528" s="22"/>
    </row>
    <row r="529">
      <c r="A529" s="22"/>
    </row>
    <row r="530">
      <c r="A530" s="22"/>
    </row>
    <row r="531">
      <c r="A531" s="22"/>
    </row>
    <row r="532">
      <c r="A532" s="22"/>
    </row>
    <row r="533">
      <c r="A533" s="22"/>
    </row>
    <row r="534">
      <c r="A534" s="22"/>
    </row>
    <row r="535">
      <c r="A535" s="22"/>
    </row>
    <row r="536">
      <c r="A536" s="22"/>
    </row>
    <row r="537">
      <c r="A537" s="22"/>
    </row>
    <row r="538">
      <c r="A538" s="22"/>
    </row>
    <row r="539">
      <c r="A539" s="22"/>
    </row>
    <row r="540">
      <c r="A540" s="22"/>
    </row>
    <row r="541">
      <c r="A541" s="22"/>
    </row>
    <row r="542">
      <c r="A542" s="22"/>
    </row>
    <row r="543">
      <c r="A543" s="22"/>
    </row>
    <row r="544">
      <c r="A544" s="22"/>
    </row>
    <row r="545">
      <c r="A545" s="22"/>
    </row>
    <row r="546">
      <c r="A546" s="22"/>
    </row>
    <row r="547">
      <c r="A547" s="22"/>
    </row>
    <row r="548">
      <c r="A548" s="22"/>
    </row>
    <row r="549">
      <c r="A549" s="22"/>
    </row>
    <row r="550">
      <c r="A550" s="22"/>
    </row>
    <row r="551">
      <c r="A551" s="22"/>
    </row>
    <row r="552">
      <c r="A552" s="22"/>
    </row>
    <row r="553">
      <c r="A553" s="22"/>
    </row>
    <row r="554">
      <c r="A554" s="22"/>
    </row>
    <row r="555">
      <c r="A555" s="22"/>
    </row>
    <row r="556">
      <c r="A556" s="22"/>
    </row>
    <row r="557">
      <c r="A557" s="22"/>
    </row>
    <row r="558">
      <c r="A558" s="22"/>
    </row>
    <row r="559">
      <c r="A559" s="22"/>
    </row>
    <row r="560">
      <c r="A560" s="22"/>
    </row>
    <row r="561">
      <c r="A561" s="22"/>
    </row>
    <row r="562">
      <c r="A562" s="22"/>
    </row>
    <row r="563">
      <c r="A563" s="22"/>
    </row>
    <row r="564">
      <c r="A564" s="22"/>
    </row>
    <row r="565">
      <c r="A565" s="22"/>
    </row>
    <row r="566">
      <c r="A566" s="22"/>
    </row>
    <row r="567">
      <c r="A567" s="22"/>
    </row>
    <row r="568">
      <c r="A568" s="22"/>
    </row>
    <row r="569">
      <c r="A569" s="22"/>
    </row>
    <row r="570">
      <c r="A570" s="22"/>
    </row>
    <row r="571">
      <c r="A571" s="22"/>
    </row>
    <row r="572">
      <c r="A572" s="22"/>
    </row>
    <row r="573">
      <c r="A573" s="22"/>
    </row>
    <row r="574">
      <c r="A574" s="22"/>
    </row>
    <row r="575">
      <c r="A575" s="22"/>
    </row>
    <row r="576">
      <c r="A576" s="22"/>
    </row>
    <row r="577">
      <c r="A577" s="22"/>
    </row>
    <row r="578">
      <c r="A578" s="22"/>
    </row>
    <row r="579">
      <c r="A579" s="22"/>
    </row>
    <row r="580">
      <c r="A580" s="22"/>
    </row>
    <row r="581">
      <c r="A581" s="22"/>
    </row>
    <row r="582">
      <c r="A582" s="22"/>
    </row>
    <row r="583">
      <c r="A583" s="22"/>
    </row>
    <row r="584">
      <c r="A584" s="22"/>
    </row>
    <row r="585">
      <c r="A585" s="22"/>
    </row>
    <row r="586">
      <c r="A586" s="22"/>
    </row>
    <row r="587">
      <c r="A587" s="22"/>
    </row>
    <row r="588">
      <c r="A588" s="22"/>
    </row>
    <row r="589">
      <c r="A589" s="22"/>
    </row>
    <row r="590">
      <c r="A590" s="22"/>
    </row>
    <row r="591">
      <c r="A591" s="22"/>
    </row>
    <row r="592">
      <c r="A592" s="22"/>
    </row>
    <row r="593">
      <c r="A593" s="22"/>
    </row>
    <row r="594">
      <c r="A594" s="22"/>
    </row>
    <row r="595">
      <c r="A595" s="22"/>
    </row>
    <row r="596">
      <c r="A596" s="22"/>
    </row>
    <row r="597">
      <c r="A597" s="22"/>
    </row>
    <row r="598">
      <c r="A598" s="22"/>
    </row>
    <row r="599">
      <c r="A599" s="22"/>
    </row>
    <row r="600">
      <c r="A600" s="22"/>
    </row>
    <row r="601">
      <c r="A601" s="22"/>
    </row>
    <row r="602">
      <c r="A602" s="22"/>
    </row>
    <row r="603">
      <c r="A603" s="22"/>
    </row>
    <row r="604">
      <c r="A604" s="22"/>
    </row>
    <row r="605">
      <c r="A605" s="22"/>
    </row>
    <row r="606">
      <c r="A606" s="22"/>
    </row>
    <row r="607">
      <c r="A607" s="22"/>
    </row>
    <row r="608">
      <c r="A608" s="22"/>
    </row>
    <row r="609">
      <c r="A609" s="22"/>
    </row>
    <row r="610">
      <c r="A610" s="22"/>
    </row>
    <row r="611">
      <c r="A611" s="22"/>
    </row>
    <row r="612">
      <c r="A612" s="22"/>
    </row>
    <row r="613">
      <c r="A613" s="22"/>
    </row>
    <row r="614">
      <c r="A614" s="22"/>
    </row>
    <row r="615">
      <c r="A615" s="22"/>
    </row>
    <row r="616">
      <c r="A616" s="22"/>
    </row>
    <row r="617">
      <c r="A617" s="22"/>
    </row>
    <row r="618">
      <c r="A618" s="22"/>
    </row>
    <row r="619">
      <c r="A619" s="22"/>
    </row>
    <row r="620">
      <c r="A620" s="22"/>
    </row>
    <row r="621">
      <c r="A621" s="22"/>
    </row>
    <row r="622">
      <c r="A622" s="22"/>
    </row>
    <row r="623">
      <c r="A623" s="22"/>
    </row>
    <row r="624">
      <c r="A624" s="22"/>
    </row>
    <row r="625">
      <c r="A625" s="22"/>
    </row>
    <row r="626">
      <c r="A626" s="22"/>
    </row>
    <row r="627">
      <c r="A627" s="22"/>
    </row>
    <row r="628">
      <c r="A628" s="22"/>
    </row>
    <row r="629">
      <c r="A629" s="22"/>
    </row>
    <row r="630">
      <c r="A630" s="22"/>
    </row>
    <row r="631">
      <c r="A631" s="22"/>
    </row>
    <row r="632">
      <c r="A632" s="22"/>
    </row>
    <row r="633">
      <c r="A633" s="22"/>
    </row>
    <row r="634">
      <c r="A634" s="22"/>
    </row>
    <row r="635">
      <c r="A635" s="22"/>
    </row>
    <row r="636">
      <c r="A636" s="22"/>
    </row>
    <row r="637">
      <c r="A637" s="22"/>
    </row>
    <row r="638">
      <c r="A638" s="22"/>
    </row>
    <row r="639">
      <c r="A639" s="22"/>
    </row>
    <row r="640">
      <c r="A640" s="22"/>
    </row>
    <row r="641">
      <c r="A641" s="22"/>
    </row>
    <row r="642">
      <c r="A642" s="22"/>
    </row>
    <row r="643">
      <c r="A643" s="22"/>
    </row>
    <row r="644">
      <c r="A644" s="22"/>
    </row>
    <row r="645">
      <c r="A645" s="22"/>
    </row>
    <row r="646">
      <c r="A646" s="22"/>
    </row>
    <row r="647">
      <c r="A647" s="22"/>
    </row>
    <row r="648">
      <c r="A648" s="22"/>
    </row>
    <row r="649">
      <c r="A649" s="22"/>
    </row>
    <row r="650">
      <c r="A650" s="22"/>
    </row>
    <row r="651">
      <c r="A651" s="22"/>
    </row>
    <row r="652">
      <c r="A652" s="22"/>
    </row>
    <row r="653">
      <c r="A653" s="22"/>
    </row>
    <row r="654">
      <c r="A654" s="22"/>
    </row>
    <row r="655">
      <c r="A655" s="22"/>
    </row>
    <row r="656">
      <c r="A656" s="22"/>
    </row>
    <row r="657">
      <c r="A657" s="22"/>
    </row>
    <row r="658">
      <c r="A658" s="22"/>
    </row>
    <row r="659">
      <c r="A659" s="22"/>
    </row>
    <row r="660">
      <c r="A660" s="22"/>
    </row>
    <row r="661">
      <c r="A661" s="22"/>
    </row>
    <row r="662">
      <c r="A662" s="22"/>
    </row>
    <row r="663">
      <c r="A663" s="22"/>
    </row>
    <row r="664">
      <c r="A664" s="22"/>
    </row>
    <row r="665">
      <c r="A665" s="22"/>
    </row>
    <row r="666">
      <c r="A666" s="22"/>
    </row>
    <row r="667">
      <c r="A667" s="22"/>
    </row>
    <row r="668">
      <c r="A668" s="22"/>
    </row>
    <row r="669">
      <c r="A669" s="22"/>
    </row>
    <row r="670">
      <c r="A670" s="22"/>
    </row>
    <row r="671">
      <c r="A671" s="22"/>
    </row>
    <row r="672">
      <c r="A672" s="22"/>
    </row>
    <row r="673">
      <c r="A673" s="22"/>
    </row>
    <row r="674">
      <c r="A674" s="22"/>
    </row>
    <row r="675">
      <c r="A675" s="22"/>
    </row>
    <row r="676">
      <c r="A676" s="22"/>
    </row>
    <row r="677">
      <c r="A677" s="22"/>
    </row>
    <row r="678">
      <c r="A678" s="22"/>
    </row>
    <row r="679">
      <c r="A679" s="22"/>
    </row>
    <row r="680">
      <c r="A680" s="22"/>
    </row>
    <row r="681">
      <c r="A681" s="22"/>
    </row>
    <row r="682">
      <c r="A682" s="22"/>
    </row>
    <row r="683">
      <c r="A683" s="22"/>
    </row>
    <row r="684">
      <c r="A684" s="22"/>
    </row>
    <row r="685">
      <c r="A685" s="22"/>
    </row>
    <row r="686">
      <c r="A686" s="22"/>
    </row>
    <row r="687">
      <c r="A687" s="22"/>
    </row>
    <row r="688">
      <c r="A688" s="22"/>
    </row>
    <row r="689">
      <c r="A689" s="22"/>
    </row>
    <row r="690">
      <c r="A690" s="22"/>
    </row>
    <row r="691">
      <c r="A691" s="22"/>
    </row>
    <row r="692">
      <c r="A692" s="22"/>
    </row>
    <row r="693">
      <c r="A693" s="22"/>
    </row>
    <row r="694">
      <c r="A694" s="22"/>
    </row>
    <row r="695">
      <c r="A695" s="22"/>
    </row>
    <row r="696">
      <c r="A696" s="22"/>
    </row>
    <row r="697">
      <c r="A697" s="22"/>
    </row>
    <row r="698">
      <c r="A698" s="22"/>
    </row>
    <row r="699">
      <c r="A699" s="22"/>
    </row>
    <row r="700">
      <c r="A700" s="22"/>
    </row>
    <row r="701">
      <c r="A701" s="22"/>
    </row>
    <row r="702">
      <c r="A702" s="22"/>
    </row>
    <row r="703">
      <c r="A703" s="22"/>
    </row>
    <row r="704">
      <c r="A704" s="22"/>
    </row>
    <row r="705">
      <c r="A705" s="22"/>
    </row>
    <row r="706">
      <c r="A706" s="22"/>
    </row>
    <row r="707">
      <c r="A707" s="22"/>
    </row>
    <row r="708">
      <c r="A708" s="22"/>
    </row>
    <row r="709">
      <c r="A709" s="22"/>
    </row>
    <row r="710">
      <c r="A710" s="22"/>
    </row>
    <row r="711">
      <c r="A711" s="22"/>
    </row>
    <row r="712">
      <c r="A712" s="22"/>
    </row>
    <row r="713">
      <c r="A713" s="22"/>
    </row>
    <row r="714">
      <c r="A714" s="22"/>
    </row>
    <row r="715">
      <c r="A715" s="22"/>
    </row>
    <row r="716">
      <c r="A716" s="22"/>
    </row>
    <row r="717">
      <c r="A717" s="22"/>
    </row>
    <row r="718">
      <c r="A718" s="22"/>
    </row>
    <row r="719">
      <c r="A719" s="22"/>
    </row>
    <row r="720">
      <c r="A720" s="22"/>
    </row>
    <row r="721">
      <c r="A721" s="22"/>
    </row>
    <row r="722">
      <c r="A722" s="22"/>
    </row>
    <row r="723">
      <c r="A723" s="22"/>
    </row>
    <row r="724">
      <c r="A724" s="22"/>
    </row>
    <row r="725">
      <c r="A725" s="22"/>
    </row>
    <row r="726">
      <c r="A726" s="22"/>
    </row>
    <row r="727">
      <c r="A727" s="22"/>
    </row>
    <row r="728">
      <c r="A728" s="22"/>
    </row>
    <row r="729">
      <c r="A729" s="22"/>
    </row>
    <row r="730">
      <c r="A730" s="22"/>
    </row>
    <row r="731">
      <c r="A731" s="22"/>
    </row>
    <row r="732">
      <c r="A732" s="22"/>
    </row>
    <row r="733">
      <c r="A733" s="22"/>
    </row>
    <row r="734">
      <c r="A734" s="22"/>
    </row>
    <row r="735">
      <c r="A735" s="22"/>
    </row>
    <row r="736">
      <c r="A736" s="22"/>
    </row>
    <row r="737">
      <c r="A737" s="22"/>
    </row>
    <row r="738">
      <c r="A738" s="22"/>
    </row>
    <row r="739">
      <c r="A739" s="22"/>
    </row>
    <row r="740">
      <c r="A740" s="22"/>
    </row>
    <row r="741">
      <c r="A741" s="22"/>
    </row>
    <row r="742">
      <c r="A742" s="22"/>
    </row>
    <row r="743">
      <c r="A743" s="22"/>
    </row>
    <row r="744">
      <c r="A744" s="22"/>
    </row>
    <row r="745">
      <c r="A745" s="22"/>
    </row>
    <row r="746">
      <c r="A746" s="22"/>
    </row>
    <row r="747">
      <c r="A747" s="22"/>
    </row>
    <row r="748">
      <c r="A748" s="22"/>
    </row>
    <row r="749">
      <c r="A749" s="22"/>
    </row>
    <row r="750">
      <c r="A750" s="22"/>
    </row>
    <row r="751">
      <c r="A751" s="22"/>
    </row>
    <row r="752">
      <c r="A752" s="22"/>
    </row>
    <row r="753">
      <c r="A753" s="22"/>
    </row>
    <row r="754">
      <c r="A754" s="22"/>
    </row>
    <row r="755">
      <c r="A755" s="22"/>
    </row>
    <row r="756">
      <c r="A756" s="22"/>
    </row>
    <row r="757">
      <c r="A757" s="22"/>
    </row>
    <row r="758">
      <c r="A758" s="22"/>
    </row>
    <row r="759">
      <c r="A759" s="22"/>
    </row>
    <row r="760">
      <c r="A760" s="22"/>
    </row>
    <row r="761">
      <c r="A761" s="22"/>
    </row>
    <row r="762">
      <c r="A762" s="22"/>
    </row>
    <row r="763">
      <c r="A763" s="22"/>
    </row>
    <row r="764">
      <c r="A764" s="22"/>
    </row>
    <row r="765">
      <c r="A765" s="22"/>
    </row>
    <row r="766">
      <c r="A766" s="22"/>
    </row>
    <row r="767">
      <c r="A767" s="22"/>
    </row>
    <row r="768">
      <c r="A768" s="22"/>
    </row>
    <row r="769">
      <c r="A769" s="22"/>
    </row>
    <row r="770">
      <c r="A770" s="22"/>
    </row>
    <row r="771">
      <c r="A771" s="22"/>
    </row>
    <row r="772">
      <c r="A772" s="22"/>
    </row>
    <row r="773">
      <c r="A773" s="22"/>
    </row>
    <row r="774">
      <c r="A774" s="22"/>
    </row>
    <row r="775">
      <c r="A775" s="22"/>
    </row>
    <row r="776">
      <c r="A776" s="22"/>
    </row>
    <row r="777">
      <c r="A777" s="22"/>
    </row>
    <row r="778">
      <c r="A778" s="22"/>
    </row>
    <row r="779">
      <c r="A779" s="22"/>
    </row>
    <row r="780">
      <c r="A780" s="22"/>
    </row>
    <row r="781">
      <c r="A781" s="22"/>
    </row>
    <row r="782">
      <c r="A782" s="22"/>
    </row>
    <row r="783">
      <c r="A783" s="22"/>
    </row>
    <row r="784">
      <c r="A784" s="22"/>
    </row>
    <row r="785">
      <c r="A785" s="22"/>
    </row>
    <row r="786">
      <c r="A786" s="22"/>
    </row>
    <row r="787">
      <c r="A787" s="22"/>
    </row>
    <row r="788">
      <c r="A788" s="22"/>
    </row>
    <row r="789">
      <c r="A789" s="22"/>
    </row>
    <row r="790">
      <c r="A790" s="22"/>
    </row>
    <row r="791">
      <c r="A791" s="22"/>
    </row>
    <row r="792">
      <c r="A792" s="22"/>
    </row>
    <row r="793">
      <c r="A793" s="22"/>
    </row>
    <row r="794">
      <c r="A794" s="22"/>
    </row>
    <row r="795">
      <c r="A795" s="22"/>
    </row>
    <row r="796">
      <c r="A796" s="22"/>
    </row>
    <row r="797">
      <c r="A797" s="22"/>
    </row>
    <row r="798">
      <c r="A798" s="22"/>
    </row>
    <row r="799">
      <c r="A799" s="22"/>
    </row>
    <row r="800">
      <c r="A800" s="22"/>
    </row>
    <row r="801">
      <c r="A801" s="22"/>
    </row>
    <row r="802">
      <c r="A802" s="22"/>
    </row>
    <row r="803">
      <c r="A803" s="22"/>
    </row>
    <row r="804">
      <c r="A804" s="22"/>
    </row>
    <row r="805">
      <c r="A805" s="22"/>
    </row>
    <row r="806">
      <c r="A806" s="22"/>
    </row>
    <row r="807">
      <c r="A807" s="22"/>
    </row>
    <row r="808">
      <c r="A808" s="22"/>
    </row>
    <row r="809">
      <c r="A809" s="22"/>
    </row>
    <row r="810">
      <c r="A810" s="22"/>
    </row>
    <row r="811">
      <c r="A811" s="22"/>
    </row>
    <row r="812">
      <c r="A812" s="22"/>
    </row>
    <row r="813">
      <c r="A813" s="22"/>
    </row>
    <row r="814">
      <c r="A814" s="22"/>
    </row>
    <row r="815">
      <c r="A815" s="22"/>
    </row>
    <row r="816">
      <c r="A816" s="22"/>
    </row>
    <row r="817">
      <c r="A817" s="22"/>
    </row>
    <row r="818">
      <c r="A818" s="22"/>
    </row>
    <row r="819">
      <c r="A819" s="22"/>
    </row>
    <row r="820">
      <c r="A820" s="22"/>
    </row>
    <row r="821">
      <c r="A821" s="22"/>
    </row>
    <row r="822">
      <c r="A822" s="22"/>
    </row>
    <row r="823">
      <c r="A823" s="22"/>
    </row>
    <row r="824">
      <c r="A824" s="22"/>
    </row>
    <row r="825">
      <c r="A825" s="22"/>
    </row>
    <row r="826">
      <c r="A826" s="22"/>
    </row>
    <row r="827">
      <c r="A827" s="22"/>
    </row>
    <row r="828">
      <c r="A828" s="22"/>
    </row>
    <row r="829">
      <c r="A829" s="22"/>
    </row>
    <row r="830">
      <c r="A830" s="22"/>
    </row>
    <row r="831">
      <c r="A831" s="22"/>
    </row>
    <row r="832">
      <c r="A832" s="22"/>
    </row>
    <row r="833">
      <c r="A833" s="22"/>
    </row>
    <row r="834">
      <c r="A834" s="22"/>
    </row>
    <row r="835">
      <c r="A835" s="22"/>
    </row>
    <row r="836">
      <c r="A836" s="22"/>
    </row>
    <row r="837">
      <c r="A837" s="22"/>
    </row>
    <row r="838">
      <c r="A838" s="22"/>
    </row>
    <row r="839">
      <c r="A839" s="22"/>
    </row>
    <row r="840">
      <c r="A840" s="22"/>
    </row>
    <row r="841">
      <c r="A841" s="22"/>
    </row>
    <row r="842">
      <c r="A842" s="22"/>
    </row>
    <row r="843">
      <c r="A843" s="22"/>
    </row>
    <row r="844">
      <c r="A844" s="22"/>
    </row>
    <row r="845">
      <c r="A845" s="22"/>
    </row>
    <row r="846">
      <c r="A846" s="22"/>
    </row>
    <row r="847">
      <c r="A847" s="22"/>
    </row>
    <row r="848">
      <c r="A848" s="22"/>
    </row>
    <row r="849">
      <c r="A849" s="22"/>
    </row>
    <row r="850">
      <c r="A850" s="22"/>
    </row>
    <row r="851">
      <c r="A851" s="22"/>
    </row>
    <row r="852">
      <c r="A852" s="22"/>
    </row>
    <row r="853">
      <c r="A853" s="22"/>
    </row>
    <row r="854">
      <c r="A854" s="22"/>
    </row>
    <row r="855">
      <c r="A855" s="22"/>
    </row>
    <row r="856">
      <c r="A856" s="22"/>
    </row>
    <row r="857">
      <c r="A857" s="22"/>
    </row>
    <row r="858">
      <c r="A858" s="22"/>
    </row>
    <row r="859">
      <c r="A859" s="22"/>
    </row>
    <row r="860">
      <c r="A860" s="22"/>
    </row>
    <row r="861">
      <c r="A861" s="22"/>
    </row>
    <row r="862">
      <c r="A862" s="22"/>
    </row>
    <row r="863">
      <c r="A863" s="22"/>
    </row>
    <row r="864">
      <c r="A864" s="22"/>
    </row>
    <row r="865">
      <c r="A865" s="22"/>
    </row>
    <row r="866">
      <c r="A866" s="22"/>
    </row>
    <row r="867">
      <c r="A867" s="22"/>
    </row>
    <row r="868">
      <c r="A868" s="22"/>
    </row>
    <row r="869">
      <c r="A869" s="22"/>
    </row>
    <row r="870">
      <c r="A870" s="22"/>
    </row>
    <row r="871">
      <c r="A871" s="22"/>
    </row>
    <row r="872">
      <c r="A872" s="22"/>
    </row>
    <row r="873">
      <c r="A873" s="22"/>
    </row>
    <row r="874">
      <c r="A874" s="22"/>
    </row>
    <row r="875">
      <c r="A875" s="22"/>
    </row>
    <row r="876">
      <c r="A876" s="22"/>
    </row>
    <row r="877">
      <c r="A877" s="22"/>
    </row>
    <row r="878">
      <c r="A878" s="22"/>
    </row>
    <row r="879">
      <c r="A879" s="22"/>
    </row>
    <row r="880">
      <c r="A880" s="22"/>
    </row>
    <row r="881">
      <c r="A881" s="22"/>
    </row>
    <row r="882">
      <c r="A882" s="22"/>
    </row>
    <row r="883">
      <c r="A883" s="22"/>
    </row>
    <row r="884">
      <c r="A884" s="22"/>
    </row>
    <row r="885">
      <c r="A885" s="22"/>
    </row>
    <row r="886">
      <c r="A886" s="22"/>
    </row>
    <row r="887">
      <c r="A887" s="22"/>
    </row>
    <row r="888">
      <c r="A888" s="22"/>
    </row>
    <row r="889">
      <c r="A889" s="22"/>
    </row>
    <row r="890">
      <c r="A890" s="22"/>
    </row>
    <row r="891">
      <c r="A891" s="22"/>
    </row>
    <row r="892">
      <c r="A892" s="22"/>
    </row>
    <row r="893">
      <c r="A893" s="22"/>
    </row>
    <row r="894">
      <c r="A894" s="22"/>
    </row>
    <row r="895">
      <c r="A895" s="22"/>
    </row>
    <row r="896">
      <c r="A896" s="22"/>
    </row>
    <row r="897">
      <c r="A897" s="22"/>
    </row>
    <row r="898">
      <c r="A898" s="22"/>
    </row>
    <row r="899">
      <c r="A899" s="22"/>
    </row>
    <row r="900">
      <c r="A900" s="22"/>
    </row>
    <row r="901">
      <c r="A901" s="22"/>
    </row>
    <row r="902">
      <c r="A902" s="22"/>
    </row>
    <row r="903">
      <c r="A903" s="22"/>
    </row>
    <row r="904">
      <c r="A904" s="22"/>
    </row>
    <row r="905">
      <c r="A905" s="22"/>
    </row>
    <row r="906">
      <c r="A906" s="22"/>
    </row>
    <row r="907">
      <c r="A907" s="22"/>
    </row>
    <row r="908">
      <c r="A908" s="22"/>
    </row>
    <row r="909">
      <c r="A909" s="22"/>
    </row>
    <row r="910">
      <c r="A910" s="22"/>
    </row>
    <row r="911">
      <c r="A911" s="22"/>
    </row>
    <row r="912">
      <c r="A912" s="22"/>
    </row>
    <row r="913">
      <c r="A913" s="22"/>
    </row>
    <row r="914">
      <c r="A914" s="22"/>
    </row>
    <row r="915">
      <c r="A915" s="22"/>
    </row>
    <row r="916">
      <c r="A916" s="22"/>
    </row>
    <row r="917">
      <c r="A917" s="22"/>
    </row>
    <row r="918">
      <c r="A918" s="22"/>
    </row>
    <row r="919">
      <c r="A919" s="22"/>
    </row>
    <row r="920">
      <c r="A920" s="22"/>
    </row>
    <row r="921">
      <c r="A921" s="22"/>
    </row>
    <row r="922">
      <c r="A922" s="22"/>
    </row>
    <row r="923">
      <c r="A923" s="22"/>
    </row>
    <row r="924">
      <c r="A924" s="22"/>
    </row>
    <row r="925">
      <c r="A925" s="22"/>
    </row>
    <row r="926">
      <c r="A926" s="22"/>
    </row>
    <row r="927">
      <c r="A927" s="22"/>
    </row>
    <row r="928">
      <c r="A928" s="22"/>
    </row>
    <row r="929">
      <c r="A929" s="22"/>
    </row>
    <row r="930">
      <c r="A930" s="22"/>
    </row>
    <row r="931">
      <c r="A931" s="22"/>
    </row>
    <row r="932">
      <c r="A932" s="22"/>
    </row>
    <row r="933">
      <c r="A933" s="22"/>
    </row>
    <row r="934">
      <c r="A934" s="22"/>
    </row>
    <row r="935">
      <c r="A935" s="22"/>
    </row>
    <row r="936">
      <c r="A936" s="22"/>
    </row>
    <row r="937">
      <c r="A937" s="22"/>
    </row>
    <row r="938">
      <c r="A938" s="22"/>
    </row>
    <row r="939">
      <c r="A939" s="22"/>
    </row>
    <row r="940">
      <c r="A940" s="22"/>
    </row>
    <row r="941">
      <c r="A941" s="22"/>
    </row>
    <row r="942">
      <c r="A942" s="22"/>
    </row>
    <row r="943">
      <c r="A943" s="22"/>
    </row>
    <row r="944">
      <c r="A944" s="22"/>
    </row>
    <row r="945">
      <c r="A945" s="22"/>
    </row>
    <row r="946">
      <c r="A946" s="22"/>
    </row>
    <row r="947">
      <c r="A947" s="22"/>
    </row>
    <row r="948">
      <c r="A948" s="22"/>
    </row>
    <row r="949">
      <c r="A949" s="22"/>
    </row>
    <row r="950">
      <c r="A950" s="22"/>
    </row>
    <row r="951">
      <c r="A951" s="22"/>
    </row>
    <row r="952">
      <c r="A952" s="22"/>
    </row>
    <row r="953">
      <c r="A953" s="22"/>
    </row>
    <row r="954">
      <c r="A954" s="22"/>
    </row>
    <row r="955">
      <c r="A955" s="22"/>
    </row>
    <row r="956">
      <c r="A956" s="22"/>
    </row>
    <row r="957">
      <c r="A957" s="22"/>
    </row>
    <row r="958">
      <c r="A958" s="22"/>
    </row>
    <row r="959">
      <c r="A959" s="22"/>
    </row>
    <row r="960">
      <c r="A960" s="22"/>
    </row>
    <row r="961">
      <c r="A961" s="22"/>
    </row>
    <row r="962">
      <c r="A962" s="22"/>
    </row>
    <row r="963">
      <c r="A963" s="22"/>
    </row>
    <row r="964">
      <c r="A964" s="22"/>
    </row>
    <row r="965">
      <c r="A965" s="22"/>
    </row>
    <row r="966">
      <c r="A966" s="22"/>
    </row>
    <row r="967">
      <c r="A967" s="22"/>
    </row>
    <row r="968">
      <c r="A968" s="22"/>
    </row>
    <row r="969">
      <c r="A969" s="22"/>
    </row>
    <row r="970">
      <c r="A970" s="22"/>
    </row>
    <row r="971">
      <c r="A971" s="22"/>
    </row>
    <row r="972">
      <c r="A972" s="22"/>
    </row>
    <row r="973">
      <c r="A973" s="22"/>
    </row>
    <row r="974">
      <c r="A974" s="22"/>
    </row>
    <row r="975">
      <c r="A975" s="22"/>
    </row>
    <row r="976">
      <c r="A976" s="22"/>
    </row>
    <row r="977">
      <c r="A977" s="22"/>
    </row>
    <row r="978">
      <c r="A978" s="22"/>
    </row>
    <row r="979">
      <c r="A979" s="22"/>
    </row>
    <row r="980">
      <c r="A980" s="22"/>
    </row>
    <row r="981">
      <c r="A981" s="22"/>
    </row>
    <row r="982">
      <c r="A982" s="22"/>
    </row>
    <row r="983">
      <c r="A983" s="22"/>
    </row>
    <row r="984">
      <c r="A984" s="22"/>
    </row>
    <row r="985">
      <c r="A985" s="22"/>
    </row>
    <row r="986">
      <c r="A986" s="22"/>
    </row>
    <row r="987">
      <c r="A987" s="22"/>
    </row>
    <row r="988">
      <c r="A988" s="22"/>
    </row>
    <row r="989">
      <c r="A989" s="22"/>
    </row>
    <row r="990">
      <c r="A990" s="22"/>
    </row>
    <row r="991">
      <c r="A991" s="22"/>
    </row>
    <row r="992">
      <c r="A992" s="22"/>
    </row>
    <row r="993">
      <c r="A993" s="22"/>
    </row>
    <row r="994">
      <c r="A994" s="22"/>
    </row>
  </sheetData>
  <dataValidations>
    <dataValidation type="list" allowBlank="1" showDropDown="1" showErrorMessage="1" sqref="B2 A8:A994">
      <formula1>'ข้อมูลยา ห้ามแก้ไข'!$A$2:$A994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6.63"/>
    <col customWidth="1" min="2" max="2" width="16.5"/>
    <col customWidth="1" min="3" max="3" width="14.13"/>
    <col customWidth="1" min="4" max="4" width="11.38"/>
    <col customWidth="1" min="5" max="5" width="18.63"/>
    <col customWidth="1" min="6" max="6" width="34.0"/>
    <col customWidth="1" min="7" max="7" width="29.25"/>
    <col customWidth="1" min="8" max="8" width="31.75"/>
  </cols>
  <sheetData>
    <row r="1" ht="75.0" customHeight="1">
      <c r="A1" s="23" t="s">
        <v>20</v>
      </c>
      <c r="B1" s="24" t="s">
        <v>21</v>
      </c>
      <c r="C1" s="25" t="s">
        <v>22</v>
      </c>
      <c r="D1" s="24" t="s">
        <v>23</v>
      </c>
      <c r="E1" s="24" t="s">
        <v>24</v>
      </c>
      <c r="F1" s="24" t="s">
        <v>25</v>
      </c>
      <c r="G1" s="24" t="s">
        <v>26</v>
      </c>
      <c r="H1" s="24" t="s">
        <v>27</v>
      </c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27" t="str">
        <f>'ข้อมูลยา ห้ามแก้ไข'!A2</f>
        <v>Adrenaline 1 mg/1ml</v>
      </c>
      <c r="B2" s="28">
        <f t="array" ref="B2">XLOOKUP(A2,'ข้อมูลยา ห้ามแก้ไข'!$A$2:$A994,'ข้อมูลยา ห้ามแก้ไข'!$B$2:$B994,"not found")</f>
        <v>0</v>
      </c>
      <c r="C2" s="28" t="str">
        <f t="array" ref="C2">XLOOKUP(A2,'ข้อมูลยา ห้ามแก้ไข'!$A$2:$A994,'ข้อมูลยา ห้ามแก้ไข'!$C$2:$C994,"not found")</f>
        <v>-</v>
      </c>
      <c r="D2" s="28" t="str">
        <f t="array" ref="D2">XLOOKUP(A2,'ข้อมูลยา ห้ามแก้ไข'!$A$2:$A994,'ข้อมูลยา ห้ามแก้ไข'!$D$2:$D994,"not found")</f>
        <v>1 mg/ml (1:1000)</v>
      </c>
      <c r="E2" s="29" t="str">
        <f t="array" ref="E2">XLOOKUP(A2,'ข้อมูลยา ห้ามแก้ไข'!$A$2:$A994,'ข้อมูลยา ห้ามแก้ไข'!$F$2:$F994,"not found")</f>
        <v>D5W D10W NSS*</v>
      </c>
      <c r="F2" s="29" t="str">
        <f t="array" ref="F2">XLOOKUP(A2,'ข้อมูลยา ห้ามแก้ไข'!$A$2:$A994,'ข้อมูลยา ห้ามแก้ไข'!$G$2:$G994,"not found")</f>
        <v>infusion max conc 60 mcg/ml</v>
      </c>
      <c r="G2" s="29" t="str">
        <f t="array" ref="G2">XLOOKUP(A2,'ข้อมูลยา ห้ามแก้ไข'!$A$2:$A994,'ข้อมูลยา ห้ามแก้ไข'!$I$2:$I994,"notfound")</f>
        <v/>
      </c>
      <c r="H2" s="30" t="str">
        <f t="array" ref="H2">XLOOKUP(A2,'ข้อมูลยา ห้ามแก้ไข'!$A$2:$A994,'ข้อมูลยา ห้ามแก้ไข'!$J$2:$J994,"not found")</f>
        <v>NSS (compativle but administration in saline solution alone is not recomeded)</v>
      </c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27" t="str">
        <f>'ข้อมูลยา ห้ามแก้ไข'!A3</f>
        <v>Calcium gluconate 0.45 mEq/1 ml (10 ml/amp)</v>
      </c>
      <c r="B3" s="28">
        <f t="array" ref="B3">XLOOKUP(A3,'ข้อมูลยา ห้ามแก้ไข'!$A$2:$A994,'ข้อมูลยา ห้ามแก้ไข'!$B$2:$B994,"not found")</f>
        <v>0</v>
      </c>
      <c r="C3" s="28" t="str">
        <f t="array" ref="C3">XLOOKUP(A3,'ข้อมูลยา ห้ามแก้ไข'!$A$2:$A994,'ข้อมูลยา ห้ามแก้ไข'!$C$2:$C994,"not found")</f>
        <v>-</v>
      </c>
      <c r="D3" s="28" t="str">
        <f t="array" ref="D3">XLOOKUP(A3,'ข้อมูลยา ห้ามแก้ไข'!$A$2:$A994,'ข้อมูลยา ห้ามแก้ไข'!$D$2:$D994,"not found")</f>
        <v>0.45 mEq/ml</v>
      </c>
      <c r="E3" s="29" t="str">
        <f t="array" ref="E3">XLOOKUP(A3,'ข้อมูลยา ห้ามแก้ไข'!$A$2:$A994,'ข้อมูลยา ห้ามแก้ไข'!$F$2:$F994,"not found")</f>
        <v>D5W D10W NSS</v>
      </c>
      <c r="F3" s="29" t="str">
        <f t="array" ref="F3">XLOOKUP(A3,'ข้อมูลยา ห้ามแก้ไข'!$A$2:$A994,'ข้อมูลยา ห้ามแก้ไข'!$G$2:$G994,"not found")</f>
        <v>conc bolus 10-50 mg/ml conc continuous infusion 5.8-10 mg/ml</v>
      </c>
      <c r="G3" s="31" t="str">
        <f t="array" ref="G3">XLOOKUP(A3,'ข้อมูลยา ห้ามแก้ไข'!$A$2:$A994,'ข้อมูลยา ห้ามแก้ไข'!$I$2:$I994,"notfound")</f>
        <v>max IV drip 100 mg/min, max continuos drip neonate (&lt;1 month): 17-33 mg/kg/hr, &gt;1 month - 17 year: 8-13 mg/kg/hr </v>
      </c>
      <c r="H3" s="32" t="str">
        <f t="array" ref="H3">XLOOKUP(A3,'ข้อมูลยา ห้ามแก้ไข'!$A$2:$A994,'ข้อมูลยา ห้ามแก้ไข'!$J$2:$J994,"not found")</f>
        <v/>
      </c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27" t="str">
        <f>'ข้อมูลยา ห้ามแก้ไข'!A4</f>
        <v>Ciprofloxacin 400 mg/200 ml</v>
      </c>
      <c r="B4" s="28">
        <f t="array" ref="B4">XLOOKUP(A4,'ข้อมูลยา ห้ามแก้ไข'!$A$2:$A994,'ข้อมูลยา ห้ามแก้ไข'!$B$2:$B994,"not found")</f>
        <v>0</v>
      </c>
      <c r="C4" s="28" t="str">
        <f t="array" ref="C4">XLOOKUP(A4,'ข้อมูลยา ห้ามแก้ไข'!$A$2:$A994,'ข้อมูลยา ห้ามแก้ไข'!$C$2:$C994,"not found")</f>
        <v>-</v>
      </c>
      <c r="D4" s="28" t="str">
        <f t="array" ref="D4">XLOOKUP(A4,'ข้อมูลยา ห้ามแก้ไข'!$A$2:$A994,'ข้อมูลยา ห้ามแก้ไข'!$D$2:$D994,"not found")</f>
        <v>2 mg/ml</v>
      </c>
      <c r="E4" s="29" t="str">
        <f t="array" ref="E4">XLOOKUP(A4,'ข้อมูลยา ห้ามแก้ไข'!$A$2:$A994,'ข้อมูลยา ห้ามแก้ไข'!$F$2:$F994,"not found")</f>
        <v>D5W D10W NSS 
D5N/2 D5N/4 LRS</v>
      </c>
      <c r="F4" s="29" t="str">
        <f t="array" ref="F4">XLOOKUP(A4,'ข้อมูลยา ห้ามแก้ไข'!$A$2:$A994,'ข้อมูลยา ห้ามแก้ไข'!$G$2:$G994,"not found")</f>
        <v>0.5-2 mg/ml </v>
      </c>
      <c r="G4" s="29" t="str">
        <f t="array" ref="G4">XLOOKUP(A4,'ข้อมูลยา ห้ามแก้ไข'!$A$2:$A994,'ข้อมูลยา ห้ามแก้ไข'!$I$2:$I994,"notfound")</f>
        <v>IV drip over 60 min</v>
      </c>
      <c r="H4" s="32" t="str">
        <f t="array" ref="H4">XLOOKUP(A4,'ข้อมูลยา ห้ามแก้ไข'!$A$2:$A994,'ข้อมูลยา ห้ามแก้ไข'!$J$2:$J994,"not found")</f>
        <v/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27" t="str">
        <f>'ข้อมูลยา ห้ามแก้ไข'!A5</f>
        <v>Dexamethasone 4mg/1ml</v>
      </c>
      <c r="B5" s="28">
        <f t="array" ref="B5">XLOOKUP(A5,'ข้อมูลยา ห้ามแก้ไข'!$A$2:$A994,'ข้อมูลยา ห้ามแก้ไข'!$B$2:$B994,"not found")</f>
        <v>0</v>
      </c>
      <c r="C5" s="28" t="str">
        <f t="array" ref="C5">XLOOKUP(A5,'ข้อมูลยา ห้ามแก้ไข'!$A$2:$A994,'ข้อมูลยา ห้ามแก้ไข'!$C$2:$C994,"not found")</f>
        <v>-</v>
      </c>
      <c r="D5" s="28" t="str">
        <f t="array" ref="D5">XLOOKUP(A5,'ข้อมูลยา ห้ามแก้ไข'!$A$2:$A994,'ข้อมูลยา ห้ามแก้ไข'!$D$2:$D994,"not found")</f>
        <v>4 mg/ml</v>
      </c>
      <c r="E5" s="29" t="str">
        <f t="array" ref="E5">XLOOKUP(A5,'ข้อมูลยา ห้ามแก้ไข'!$A$2:$A994,'ข้อมูลยา ห้ามแก้ไข'!$F$2:$F994,"not found")</f>
        <v>D5W D10W NSS</v>
      </c>
      <c r="F5" s="29" t="str">
        <f t="array" ref="F5">XLOOKUP(A5,'ข้อมูลยา ห้ามแก้ไข'!$A$2:$A994,'ข้อมูลยา ห้ามแก้ไข'!$G$2:$G994,"not found")</f>
        <v>undiluted or diluted to 0.1-1 mg/ml</v>
      </c>
      <c r="G5" s="29" t="str">
        <f t="array" ref="G5">XLOOKUP(A5,'ข้อมูลยา ห้ามแก้ไข'!$A$2:$A994,'ข้อมูลยา ห้ามแก้ไข'!$I$2:$I994,"notfound")</f>
        <v>-</v>
      </c>
      <c r="H5" s="32" t="str">
        <f t="array" ref="H5">XLOOKUP(A5,'ข้อมูลยา ห้ามแก้ไข'!$A$2:$A994,'ข้อมูลยา ห้ามแก้ไข'!$J$2:$J994,"not found")</f>
        <v/>
      </c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27" t="str">
        <f>'ข้อมูลยา ห้ามแก้ไข'!A6</f>
        <v>DIAZEPAM 10 mg/ 2 ml</v>
      </c>
      <c r="B6" s="28">
        <f t="array" ref="B6">XLOOKUP(A6,'ข้อมูลยา ห้ามแก้ไข'!$A$2:$A994,'ข้อมูลยา ห้ามแก้ไข'!$B$2:$B994,"not found")</f>
        <v>0</v>
      </c>
      <c r="C6" s="28" t="str">
        <f t="array" ref="C6">XLOOKUP(A6,'ข้อมูลยา ห้ามแก้ไข'!$A$2:$A994,'ข้อมูลยา ห้ามแก้ไข'!$C$2:$C994,"not found")</f>
        <v>-</v>
      </c>
      <c r="D6" s="28" t="str">
        <f t="array" ref="D6">XLOOKUP(A6,'ข้อมูลยา ห้ามแก้ไข'!$A$2:$A994,'ข้อมูลยา ห้ามแก้ไข'!$D$2:$D994,"not found")</f>
        <v>5 mg/ml</v>
      </c>
      <c r="E6" s="29" t="str">
        <f t="array" ref="E6">XLOOKUP(A6,'ข้อมูลยา ห้ามแก้ไข'!$A$2:$A994,'ข้อมูลยา ห้ามแก้ไข'!$F$2:$F994,"not found")</f>
        <v/>
      </c>
      <c r="F6" s="29" t="str">
        <f t="array" ref="F6">XLOOKUP(A6,'ข้อมูลยา ห้ามแก้ไข'!$A$2:$A994,'ข้อมูลยา ห้ามแก้ไข'!$G$2:$G994,"not found")</f>
        <v/>
      </c>
      <c r="G6" s="29" t="str">
        <f t="array" ref="G6">XLOOKUP(A6,'ข้อมูลยา ห้ามแก้ไข'!$A$2:$A994,'ข้อมูลยา ห้ามแก้ไข'!$I$2:$I994,"notfound")</f>
        <v/>
      </c>
      <c r="H6" s="32" t="str">
        <f t="array" ref="H6">XLOOKUP(A6,'ข้อมูลยา ห้ามแก้ไข'!$A$2:$A994,'ข้อมูลยา ห้ามแก้ไข'!$J$2:$J994,"not found")</f>
        <v/>
      </c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27" t="str">
        <f>'ข้อมูลยา ห้ามแก้ไข'!A7</f>
        <v>Gentamicin 80 mg/2ml</v>
      </c>
      <c r="B7" s="28">
        <f t="array" ref="B7">XLOOKUP(A7,'ข้อมูลยา ห้ามแก้ไข'!$A$2:$A994,'ข้อมูลยา ห้ามแก้ไข'!$B$2:$B994,"not found")</f>
        <v>0</v>
      </c>
      <c r="C7" s="28" t="str">
        <f t="array" ref="C7">XLOOKUP(A7,'ข้อมูลยา ห้ามแก้ไข'!$A$2:$A994,'ข้อมูลยา ห้ามแก้ไข'!$C$2:$C994,"not found")</f>
        <v>-</v>
      </c>
      <c r="D7" s="28" t="str">
        <f t="array" ref="D7">XLOOKUP(A7,'ข้อมูลยา ห้ามแก้ไข'!$A$2:$A994,'ข้อมูลยา ห้ามแก้ไข'!$D$2:$D994,"not found")</f>
        <v>40 mg/ml</v>
      </c>
      <c r="E7" s="29" t="str">
        <f t="array" ref="E7">XLOOKUP(A7,'ข้อมูลยา ห้ามแก้ไข'!$A$2:$A994,'ข้อมูลยา ห้ามแก้ไข'!$F$2:$F994,"not found")</f>
        <v>D5W D10W NSS</v>
      </c>
      <c r="F7" s="29" t="str">
        <f t="array" ref="F7">XLOOKUP(A7,'ข้อมูลยา ห้ามแก้ไข'!$A$2:$A994,'ข้อมูลยา ห้ามแก้ไข'!$G$2:$G994,"not found")</f>
        <v>1 mg/ml or 2 mg/ml or 10 mg/ml or 10 mg/ml</v>
      </c>
      <c r="G7" s="29" t="str">
        <f t="array" ref="G7">XLOOKUP(A7,'ข้อมูลยา ห้ามแก้ไข'!$A$2:$A994,'ข้อมูลยา ห้ามแก้ไข'!$I$2:$I994,"notfound")</f>
        <v>IV drip in 30 min</v>
      </c>
      <c r="H7" s="32" t="str">
        <f t="array" ref="H7">XLOOKUP(A7,'ข้อมูลยา ห้ามแก้ไข'!$A$2:$A994,'ข้อมูลยา ห้ามแก้ไข'!$J$2:$J994,"not found")</f>
        <v/>
      </c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27" t="str">
        <f>'ข้อมูลยา ห้ามแก้ไข'!A8</f>
        <v>Levetiracetam 100 mg/1ml (5 ml/vial)</v>
      </c>
      <c r="B8" s="28">
        <f t="array" ref="B8">XLOOKUP(A8,'ข้อมูลยา ห้ามแก้ไข'!$A$2:$A994,'ข้อมูลยา ห้ามแก้ไข'!$B$2:$B994,"not found")</f>
        <v>0</v>
      </c>
      <c r="C8" s="28" t="str">
        <f t="array" ref="C8">XLOOKUP(A8,'ข้อมูลยา ห้ามแก้ไข'!$A$2:$A994,'ข้อมูลยา ห้ามแก้ไข'!$C$2:$C994,"not found")</f>
        <v>-</v>
      </c>
      <c r="D8" s="28" t="str">
        <f t="array" ref="D8">XLOOKUP(A8,'ข้อมูลยา ห้ามแก้ไข'!$A$2:$A994,'ข้อมูลยา ห้ามแก้ไข'!$D$2:$D994,"not found")</f>
        <v>100 mg/1ml</v>
      </c>
      <c r="E8" s="29" t="str">
        <f t="array" ref="E8">XLOOKUP(A8,'ข้อมูลยา ห้ามแก้ไข'!$A$2:$A994,'ข้อมูลยา ห้ามแก้ไข'!$F$2:$F994,"not found")</f>
        <v>D5W NSS LRS</v>
      </c>
      <c r="F8" s="29" t="str">
        <f t="array" ref="F8">XLOOKUP(A8,'ข้อมูลยา ห้ามแก้ไข'!$A$2:$A994,'ข้อมูลยา ห้ามแก้ไข'!$G$2:$G994,"not found")</f>
        <v>max 15 mg/ml</v>
      </c>
      <c r="G8" s="29" t="str">
        <f t="array" ref="G8">XLOOKUP(A8,'ข้อมูลยา ห้ามแก้ไข'!$A$2:$A994,'ข้อมูลยา ห้ามแก้ไข'!$I$2:$I994,"notfound")</f>
        <v>IV drip over 15 min</v>
      </c>
      <c r="H8" s="32" t="str">
        <f t="array" ref="H8">XLOOKUP(A8,'ข้อมูลยา ห้ามแก้ไข'!$A$2:$A994,'ข้อมูลยา ห้ามแก้ไข'!$J$2:$J994,"not found")</f>
        <v/>
      </c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27" t="str">
        <f>'ข้อมูลยา ห้ามแก้ไข'!A9</f>
        <v>Methylprednisolone 40 mg/1 mg (single dose vial)</v>
      </c>
      <c r="B9" s="28">
        <f t="array" ref="B9">XLOOKUP(A9,'ข้อมูลยา ห้ามแก้ไข'!$A$2:$A994,'ข้อมูลยา ห้ามแก้ไข'!$B$2:$B994,"not found")</f>
        <v>0</v>
      </c>
      <c r="C9" s="28" t="str">
        <f t="array" ref="C9">XLOOKUP(A9,'ข้อมูลยา ห้ามแก้ไข'!$A$2:$A994,'ข้อมูลยา ห้ามแก้ไข'!$C$2:$C994,"not found")</f>
        <v>-</v>
      </c>
      <c r="D9" s="28" t="str">
        <f t="array" ref="D9">XLOOKUP(A9,'ข้อมูลยา ห้ามแก้ไข'!$A$2:$A994,'ข้อมูลยา ห้ามแก้ไข'!$D$2:$D994,"not found")</f>
        <v>40 mg/ml</v>
      </c>
      <c r="E9" s="29" t="str">
        <f t="array" ref="E9">XLOOKUP(A9,'ข้อมูลยา ห้ามแก้ไข'!$A$2:$A994,'ข้อมูลยา ห้ามแก้ไข'!$F$2:$F994,"not found")</f>
        <v>D5W NSS  D5S D5N/2 LRS</v>
      </c>
      <c r="F9" s="29" t="str">
        <f t="array" ref="F9">XLOOKUP(A9,'ข้อมูลยา ห้ามแก้ไข'!$A$2:$A994,'ข้อมูลยา ห้ามแก้ไข'!$G$2:$G994,"not found")</f>
        <v>IV push over several min, IV infusion high dose 15-30 mg/kg or 500-1000 mg per dose to 2.5-20 mg/ml</v>
      </c>
      <c r="G9" s="29" t="str">
        <f t="array" ref="G9">XLOOKUP(A9,'ข้อมูลยา ห้ามแก้ไข'!$A$2:$A994,'ข้อมูลยา ห้ามแก้ไข'!$I$2:$I994,"notfound")</f>
        <v>IV drip over 30 min to 3 hr</v>
      </c>
      <c r="H9" s="32" t="str">
        <f t="array" ref="H9">XLOOKUP(A9,'ข้อมูลยา ห้ามแก้ไข'!$A$2:$A994,'ข้อมูลยา ห้ามแก้ไข'!$J$2:$J994,"not found")</f>
        <v/>
      </c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27" t="str">
        <f>'ข้อมูลยา ห้ามแก้ไข'!A10</f>
        <v>Metronidazole 500 mg/100 ml</v>
      </c>
      <c r="B10" s="28">
        <f t="array" ref="B10">XLOOKUP(A10,'ข้อมูลยา ห้ามแก้ไข'!$A$2:$A994,'ข้อมูลยา ห้ามแก้ไข'!$B$2:$B994,"not found")</f>
        <v>0</v>
      </c>
      <c r="C10" s="28" t="str">
        <f t="array" ref="C10">XLOOKUP(A10,'ข้อมูลยา ห้ามแก้ไข'!$A$2:$A994,'ข้อมูลยา ห้ามแก้ไข'!$C$2:$C994,"not found")</f>
        <v>-</v>
      </c>
      <c r="D10" s="28" t="str">
        <f t="array" ref="D10">XLOOKUP(A10,'ข้อมูลยา ห้ามแก้ไข'!$A$2:$A994,'ข้อมูลยา ห้ามแก้ไข'!$D$2:$D994,"not found")</f>
        <v>5 mg/ml</v>
      </c>
      <c r="E10" s="29" t="str">
        <f t="array" ref="E10">XLOOKUP(A10,'ข้อมูลยา ห้ามแก้ไข'!$A$2:$A994,'ข้อมูลยา ห้ามแก้ไข'!$F$2:$F994,"not found")</f>
        <v>D5W NSS</v>
      </c>
      <c r="F10" s="29" t="str">
        <f t="array" ref="F10">XLOOKUP(A10,'ข้อมูลยา ห้ามแก้ไข'!$A$2:$A994,'ข้อมูลยา ห้ามแก้ไข'!$G$2:$G994,"not found")</f>
        <v>max 8 mg/ml</v>
      </c>
      <c r="G10" s="29" t="str">
        <f t="array" ref="G10">XLOOKUP(A10,'ข้อมูลยา ห้ามแก้ไข'!$A$2:$A994,'ข้อมูลยา ห้ามแก้ไข'!$I$2:$I994,"notfound")</f>
        <v>IV drip over 30-60 min</v>
      </c>
      <c r="H10" s="32" t="str">
        <f t="array" ref="H10">XLOOKUP(A10,'ข้อมูลยา ห้ามแก้ไข'!$A$2:$A994,'ข้อมูลยา ห้ามแก้ไข'!$J$2:$J994,"not found")</f>
        <v/>
      </c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27" t="str">
        <f>'ข้อมูลยา ห้ามแก้ไข'!A11</f>
        <v>ONDANSETRON 4 mg /2 ml.</v>
      </c>
      <c r="B11" s="28">
        <f t="array" ref="B11">XLOOKUP(A11,'ข้อมูลยา ห้ามแก้ไข'!$A$2:$A994,'ข้อมูลยา ห้ามแก้ไข'!$B$2:$B994,"not found")</f>
        <v>0</v>
      </c>
      <c r="C11" s="28" t="str">
        <f t="array" ref="C11">XLOOKUP(A11,'ข้อมูลยา ห้ามแก้ไข'!$A$2:$A994,'ข้อมูลยา ห้ามแก้ไข'!$C$2:$C994,"not found")</f>
        <v>-</v>
      </c>
      <c r="D11" s="28" t="str">
        <f t="array" ref="D11">XLOOKUP(A11,'ข้อมูลยา ห้ามแก้ไข'!$A$2:$A994,'ข้อมูลยา ห้ามแก้ไข'!$D$2:$D994,"not found")</f>
        <v>2 mg/ml</v>
      </c>
      <c r="E11" s="29" t="str">
        <f t="array" ref="E11">XLOOKUP(A11,'ข้อมูลยา ห้ามแก้ไข'!$A$2:$A994,'ข้อมูลยา ห้ามแก้ไข'!$F$2:$F994,"not found")</f>
        <v/>
      </c>
      <c r="F11" s="29" t="str">
        <f t="array" ref="F11">XLOOKUP(A11,'ข้อมูลยา ห้ามแก้ไข'!$A$2:$A994,'ข้อมูลยา ห้ามแก้ไข'!$G$2:$G994,"not found")</f>
        <v/>
      </c>
      <c r="G11" s="29" t="str">
        <f t="array" ref="G11">XLOOKUP(A11,'ข้อมูลยา ห้ามแก้ไข'!$A$2:$A994,'ข้อมูลยา ห้ามแก้ไข'!$I$2:$I994,"notfound")</f>
        <v/>
      </c>
      <c r="H11" s="32" t="str">
        <f t="array" ref="H11">XLOOKUP(A11,'ข้อมูลยา ห้ามแก้ไข'!$A$2:$A994,'ข้อมูลยา ห้ามแก้ไข'!$J$2:$J994,"not found")</f>
        <v/>
      </c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27" t="str">
        <f>'ข้อมูลยา ห้ามแก้ไข'!A12</f>
        <v>Phenobarbital 200 mg/1 ml</v>
      </c>
      <c r="B12" s="28">
        <f t="array" ref="B12">XLOOKUP(A12,'ข้อมูลยา ห้ามแก้ไข'!$A$2:$A994,'ข้อมูลยา ห้ามแก้ไข'!$B$2:$B994,"not found")</f>
        <v>0</v>
      </c>
      <c r="C12" s="28" t="str">
        <f t="array" ref="C12">XLOOKUP(A12,'ข้อมูลยา ห้ามแก้ไข'!$A$2:$A994,'ข้อมูลยา ห้ามแก้ไข'!$C$2:$C994,"not found")</f>
        <v>-</v>
      </c>
      <c r="D12" s="28" t="str">
        <f t="array" ref="D12">XLOOKUP(A12,'ข้อมูลยา ห้ามแก้ไข'!$A$2:$A994,'ข้อมูลยา ห้ามแก้ไข'!$D$2:$D994,"not found")</f>
        <v>200 mg/ml</v>
      </c>
      <c r="E12" s="29" t="str">
        <f t="array" ref="E12">XLOOKUP(A12,'ข้อมูลยา ห้ามแก้ไข'!$A$2:$A994,'ข้อมูลยา ห้ามแก้ไข'!$F$2:$F994,"not found")</f>
        <v>D5W D10W NSS</v>
      </c>
      <c r="F12" s="33" t="str">
        <f t="array" ref="F12">XLOOKUP(A12,'ข้อมูลยา ห้ามแก้ไข'!$A$2:$A994,'ข้อมูลยา ห้ามแก้ไข'!$G$2:$G994,"not found")</f>
        <v>standard conc 10 mg/ml and 65 mg/ml</v>
      </c>
      <c r="G12" s="29" t="str">
        <f t="array" ref="G12">XLOOKUP(A12,'ข้อมูลยา ห้ามแก้ไข'!$A$2:$A994,'ข้อมูลยา ห้ามแก้ไข'!$I$2:$I994,"notfound")</f>
        <v>IV drip 15- 30 min</v>
      </c>
      <c r="H12" s="32" t="str">
        <f t="array" ref="H12">XLOOKUP(A12,'ข้อมูลยา ห้ามแก้ไข'!$A$2:$A994,'ข้อมูลยา ห้ามแก้ไข'!$J$2:$J994,"not found")</f>
        <v/>
      </c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27" t="str">
        <f>'ข้อมูลยา ห้ามแก้ไข'!A13</f>
        <v>Phenytoin 250 mg/5ml</v>
      </c>
      <c r="B13" s="28">
        <f t="array" ref="B13">XLOOKUP(A13,'ข้อมูลยา ห้ามแก้ไข'!$A$2:$A994,'ข้อมูลยา ห้ามแก้ไข'!$B$2:$B994,"not found")</f>
        <v>0</v>
      </c>
      <c r="C13" s="28" t="str">
        <f t="array" ref="C13">XLOOKUP(A13,'ข้อมูลยา ห้ามแก้ไข'!$A$2:$A994,'ข้อมูลยา ห้ามแก้ไข'!$C$2:$C994,"not found")</f>
        <v>-</v>
      </c>
      <c r="D13" s="28" t="str">
        <f t="array" ref="D13">XLOOKUP(A13,'ข้อมูลยา ห้ามแก้ไข'!$A$2:$A994,'ข้อมูลยา ห้ามแก้ไข'!$D$2:$D994,"not found")</f>
        <v>50 mg/ml</v>
      </c>
      <c r="E13" s="34" t="str">
        <f t="array" ref="E13">XLOOKUP(A13,'ข้อมูลยา ห้ามแก้ไข'!$A$2:$A994,'ข้อมูลยา ห้ามแก้ไข'!$F$2:$F994,"not found")</f>
        <v>NSS only</v>
      </c>
      <c r="F13" s="29" t="str">
        <f t="array" ref="F13">XLOOKUP(A13,'ข้อมูลยา ห้ามแก้ไข'!$A$2:$A994,'ข้อมูลยา ห้ามแก้ไข'!$G$2:$G994,"not found")</f>
        <v>IV infusion not less than 5 mg/ml</v>
      </c>
      <c r="G13" s="29" t="str">
        <f t="array" ref="G13">XLOOKUP(A13,'ข้อมูลยา ห้ามแก้ไข'!$A$2:$A994,'ข้อมูลยา ห้ามแก้ไข'!$I$2:$I994,"notfound")</f>
        <v>IV drip in 15-30 min</v>
      </c>
      <c r="H13" s="32" t="str">
        <f t="array" ref="H13">XLOOKUP(A13,'ข้อมูลยา ห้ามแก้ไข'!$A$2:$A994,'ข้อมูลยา ห้ามแก้ไข'!$J$2:$J994,"not found")</f>
        <v/>
      </c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27" t="str">
        <f>'ข้อมูลยา ห้ามแก้ไข'!A14</f>
        <v>Potassium chloride 40 mEq/20 ml</v>
      </c>
      <c r="B14" s="28">
        <f t="array" ref="B14">XLOOKUP(A14,'ข้อมูลยา ห้ามแก้ไข'!$A$2:$A994,'ข้อมูลยา ห้ามแก้ไข'!$B$2:$B994,"not found")</f>
        <v>0</v>
      </c>
      <c r="C14" s="28" t="str">
        <f t="array" ref="C14">XLOOKUP(A14,'ข้อมูลยา ห้ามแก้ไข'!$A$2:$A994,'ข้อมูลยา ห้ามแก้ไข'!$C$2:$C994,"not found")</f>
        <v>-</v>
      </c>
      <c r="D14" s="28" t="str">
        <f t="array" ref="D14">XLOOKUP(A14,'ข้อมูลยา ห้ามแก้ไข'!$A$2:$A994,'ข้อมูลยา ห้ามแก้ไข'!$D$2:$D994,"not found")</f>
        <v>2 mEq/ml</v>
      </c>
      <c r="E14" s="31" t="str">
        <f t="array" ref="E14">XLOOKUP(A14,'ข้อมูลยา ห้ามแก้ไข'!$A$2:$A994,'ข้อมูลยา ห้ามแก้ไข'!$F$2:$F994,"not found")</f>
        <v>D5W D10W NSS D5N/2 D5N/4 LRS, Acetar</v>
      </c>
      <c r="F14" s="35" t="str">
        <f t="array" ref="F14">XLOOKUP(A14,'ข้อมูลยา ห้ามแก้ไข'!$A$2:$A994,'ข้อมูลยา ห้ามแก้ไข'!$G$2:$G994,"not found")</f>
        <v>max. peripheral infusion 60-80 mEq/L max. central line infusion 200 mEq/L </v>
      </c>
      <c r="G14" s="35" t="str">
        <f t="array" ref="G14">XLOOKUP(A14,'ข้อมูลยา ห้ามแก้ไข'!$A$2:$A994,'ข้อมูลยา ห้ามแก้ไข'!$I$2:$I994,"notfound")</f>
        <v>max 1 mEq/kg/hr or 40 mEq/hr</v>
      </c>
      <c r="H14" s="32" t="str">
        <f t="array" ref="H14">XLOOKUP(A14,'ข้อมูลยา ห้ามแก้ไข'!$A$2:$A994,'ข้อมูลยา ห้ามแก้ไข'!$J$2:$J994,"not found")</f>
        <v/>
      </c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27" t="str">
        <f>'ข้อมูลยา ห้ามแก้ไข'!A15</f>
        <v>Sodium valproate 400 mg/4ml</v>
      </c>
      <c r="B15" s="28">
        <f t="array" ref="B15">XLOOKUP(A15,'ข้อมูลยา ห้ามแก้ไข'!$A$2:$A994,'ข้อมูลยา ห้ามแก้ไข'!$B$2:$B994,"not found")</f>
        <v>0</v>
      </c>
      <c r="C15" s="28" t="str">
        <f t="array" ref="C15">XLOOKUP(A15,'ข้อมูลยา ห้ามแก้ไข'!$A$2:$A994,'ข้อมูลยา ห้ามแก้ไข'!$C$2:$C994,"not found")</f>
        <v>-</v>
      </c>
      <c r="D15" s="28" t="str">
        <f t="array" ref="D15">XLOOKUP(A15,'ข้อมูลยา ห้ามแก้ไข'!$A$2:$A994,'ข้อมูลยา ห้ามแก้ไข'!$D$2:$D994,"not found")</f>
        <v>100 mg/ml</v>
      </c>
      <c r="E15" s="29" t="str">
        <f t="array" ref="E15">XLOOKUP(A15,'ข้อมูลยา ห้ามแก้ไข'!$A$2:$A994,'ข้อมูลยา ห้ามแก้ไข'!$F$2:$F994,"not found")</f>
        <v>D5W NSS LRS</v>
      </c>
      <c r="F15" s="29" t="str">
        <f t="array" ref="F15">XLOOKUP(A15,'ข้อมูลยา ห้ามแก้ไข'!$A$2:$A994,'ข้อมูลยา ห้ามแก้ไข'!$G$2:$G994,"not found")</f>
        <v/>
      </c>
      <c r="G15" s="31" t="str">
        <f t="array" ref="G15">XLOOKUP(A15,'ข้อมูลยา ห้ามแก้ไข'!$A$2:$A994,'ข้อมูลยา ห้ามแก้ไข'!$I$2:$I994,"notfound")</f>
        <v>IV drip max 20 mg/min over 60 min</v>
      </c>
      <c r="H15" s="32" t="str">
        <f t="array" ref="H15">XLOOKUP(A15,'ข้อมูลยา ห้ามแก้ไข'!$A$2:$A994,'ข้อมูลยา ห้ามแก้ไข'!$J$2:$J994,"not found")</f>
        <v>เจือจางในสารน้ำ อย่างน้อย 50 ml</v>
      </c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36" t="str">
        <f>'ข้อมูลยา ห้ามแก้ไข'!A16</f>
        <v>Amoxy-clave 1.2 g</v>
      </c>
      <c r="B16" s="37" t="str">
        <f t="array" ref="B16">XLOOKUP(A16,'ข้อมูลยา ห้ามแก้ไข'!$A$2:$A994,'ข้อมูลยา ห้ามแก้ไข'!$B$2:$B994,"not found")</f>
        <v>NSS,SWI 19.1 ml</v>
      </c>
      <c r="C16" s="37" t="str">
        <f t="array" ref="C16">XLOOKUP(A16,'ข้อมูลยา ห้ามแก้ไข'!$A$2:$A994,'ข้อมูลยา ห้ามแก้ไข'!$C$2:$C994,"not found")</f>
        <v>20 ml</v>
      </c>
      <c r="D16" s="37" t="str">
        <f t="array" ref="D16">XLOOKUP(A16,'ข้อมูลยา ห้ามแก้ไข'!$A$2:$A994,'ข้อมูลยา ห้ามแก้ไข'!$D$2:$D994,"not found")</f>
        <v>50 mg/ml</v>
      </c>
      <c r="E16" s="31" t="str">
        <f t="array" ref="E16">XLOOKUP(A16,'ข้อมูลยา ห้ามแก้ไข'!$A$2:$A994,'ข้อมูลยา ห้ามแก้ไข'!$F$2:$F994,"not found")</f>
        <v>NSS</v>
      </c>
      <c r="F16" s="31" t="str">
        <f t="array" ref="F16">XLOOKUP(A16,'ข้อมูลยา ห้ามแก้ไข'!$A$2:$A994,'ข้อมูลยา ห้ามแก้ไข'!$G$2:$G994,"not found")</f>
        <v>10-20 mg of amoxicillin/ml </v>
      </c>
      <c r="G16" s="31" t="str">
        <f t="array" ref="G16">XLOOKUP(A16,'ข้อมูลยา ห้ามแก้ไข'!$A$2:$A994,'ข้อมูลยา ห้ามแก้ไข'!$I$2:$I994,"notfound")</f>
        <v>IV drip in 30-40 min</v>
      </c>
      <c r="H16" s="30" t="str">
        <f t="array" ref="H16">XLOOKUP(A16,'ข้อมูลยา ห้ามแก้ไข'!$A$2:$A994,'ข้อมูลยา ห้ามแก้ไข'!$J$2:$J994,"not found")</f>
        <v/>
      </c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36" t="str">
        <f>'ข้อมูลยา ห้ามแก้ไข'!A17</f>
        <v>Ampicillin 1000 mg</v>
      </c>
      <c r="B17" s="37" t="str">
        <f t="array" ref="B17">XLOOKUP(A17,'ข้อมูลยา ห้ามแก้ไข'!$A$2:$A994,'ข้อมูลยา ห้ามแก้ไข'!$B$2:$B994,"not found")</f>
        <v>NSS,SWI 7.4 ml</v>
      </c>
      <c r="C17" s="37" t="str">
        <f t="array" ref="C17">XLOOKUP(A17,'ข้อมูลยา ห้ามแก้ไข'!$A$2:$A994,'ข้อมูลยา ห้ามแก้ไข'!$C$2:$C994,"not found")</f>
        <v>10 ml</v>
      </c>
      <c r="D17" s="37" t="str">
        <f t="array" ref="D17">XLOOKUP(A17,'ข้อมูลยา ห้ามแก้ไข'!$A$2:$A994,'ข้อมูลยา ห้ามแก้ไข'!$D$2:$D994,"not found")</f>
        <v>100 mg/ml</v>
      </c>
      <c r="E17" s="31" t="str">
        <f t="array" ref="E17">XLOOKUP(A17,'ข้อมูลยา ห้ามแก้ไข'!$A$2:$A994,'ข้อมูลยา ห้ามแก้ไข'!$F$2:$F994,"not found")</f>
        <v>D5W NSS D5N/2 LRS</v>
      </c>
      <c r="F17" s="31" t="str">
        <f t="array" ref="F17">XLOOKUP(A17,'ข้อมูลยา ห้ามแก้ไข'!$A$2:$A994,'ข้อมูลยา ห้ามแก้ไข'!$G$2:$G994,"not found")</f>
        <v>recommened 30,40,50,100 mg/ml</v>
      </c>
      <c r="G17" s="31" t="str">
        <f t="array" ref="G17">XLOOKUP(A17,'ข้อมูลยา ห้ามแก้ไข'!$A$2:$A994,'ข้อมูลยา ห้ามแก้ไข'!$I$2:$I994,"notfound")</f>
        <v>IV drip in 30 min</v>
      </c>
      <c r="H17" s="30" t="str">
        <f t="array" ref="H17">XLOOKUP(A17,'ข้อมูลยา ห้ามแก้ไข'!$A$2:$A994,'ข้อมูลยา ห้ามแก้ไข'!$J$2:$J994,"not found")</f>
        <v/>
      </c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36" t="str">
        <f>'ข้อมูลยา ห้ามแก้ไข'!A18</f>
        <v>Ampicillin 500 mg</v>
      </c>
      <c r="B18" s="37" t="str">
        <f t="array" ref="B18">XLOOKUP(A18,'ข้อมูลยา ห้ามแก้ไข'!$A$2:$A994,'ข้อมูลยา ห้ามแก้ไข'!$B$2:$B994,"not found")</f>
        <v>NSS,SWI 5 ml</v>
      </c>
      <c r="C18" s="37" t="str">
        <f t="array" ref="C18">XLOOKUP(A18,'ข้อมูลยา ห้ามแก้ไข'!$A$2:$A994,'ข้อมูลยา ห้ามแก้ไข'!$C$2:$C994,"not found")</f>
        <v>5 ml</v>
      </c>
      <c r="D18" s="37" t="str">
        <f t="array" ref="D18">XLOOKUP(A18,'ข้อมูลยา ห้ามแก้ไข'!$A$2:$A994,'ข้อมูลยา ห้ามแก้ไข'!$D$2:$D994,"not found")</f>
        <v>100 mg/ml</v>
      </c>
      <c r="E18" s="31" t="str">
        <f t="array" ref="E18">XLOOKUP(A18,'ข้อมูลยา ห้ามแก้ไข'!$A$2:$A994,'ข้อมูลยา ห้ามแก้ไข'!$F$2:$F994,"not found")</f>
        <v>D5W</v>
      </c>
      <c r="F18" s="31" t="str">
        <f t="array" ref="F18">XLOOKUP(A18,'ข้อมูลยา ห้ามแก้ไข'!$A$2:$A994,'ข้อมูลยา ห้ามแก้ไข'!$G$2:$G994,"not found")</f>
        <v>recommened 30,40,50,100 mg/ml</v>
      </c>
      <c r="G18" s="31" t="str">
        <f t="array" ref="G18">XLOOKUP(A18,'ข้อมูลยา ห้ามแก้ไข'!$A$2:$A994,'ข้อมูลยา ห้ามแก้ไข'!$I$2:$I994,"notfound")</f>
        <v>IV drip in 30 min</v>
      </c>
      <c r="H18" s="30" t="str">
        <f t="array" ref="H18">XLOOKUP(A18,'ข้อมูลยา ห้ามแก้ไข'!$A$2:$A994,'ข้อมูลยา ห้ามแก้ไข'!$J$2:$J994,"not found")</f>
        <v/>
      </c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36" t="str">
        <f>'ข้อมูลยา ห้ามแก้ไข'!A19</f>
        <v>Cefazolin 1 g</v>
      </c>
      <c r="B19" s="37" t="str">
        <f t="array" ref="B19">XLOOKUP(A19,'ข้อมูลยา ห้ามแก้ไข'!$A$2:$A994,'ข้อมูลยา ห้ามแก้ไข'!$B$2:$B994,"not found")</f>
        <v>SWI 4.5 ml</v>
      </c>
      <c r="C19" s="37" t="str">
        <f t="array" ref="C19">XLOOKUP(A19,'ข้อมูลยา ห้ามแก้ไข'!$A$2:$A994,'ข้อมูลยา ห้ามแก้ไข'!$C$2:$C994,"not found")</f>
        <v>5 ml</v>
      </c>
      <c r="D19" s="37" t="str">
        <f t="array" ref="D19">XLOOKUP(A19,'ข้อมูลยา ห้ามแก้ไข'!$A$2:$A994,'ข้อมูลยา ห้ามแก้ไข'!$D$2:$D994,"not found")</f>
        <v>200 mg/ml</v>
      </c>
      <c r="E19" s="31" t="str">
        <f t="array" ref="E19">XLOOKUP(A19,'ข้อมูลยา ห้ามแก้ไข'!$A$2:$A994,'ข้อมูลยา ห้ามแก้ไข'!$F$2:$F994,"not found")</f>
        <v>NSS D5W D10W LRS</v>
      </c>
      <c r="F19" s="31" t="str">
        <f t="array" ref="F19">XLOOKUP(A19,'ข้อมูลยา ห้ามแก้ไข'!$A$2:$A994,'ข้อมูลยา ห้ามแก้ไข'!$G$2:$G994,"not found")</f>
        <v>IV bolus  100 mg/ml, IV infusion 5-20 mg/ml</v>
      </c>
      <c r="G19" s="31" t="str">
        <f t="array" ref="G19">XLOOKUP(A19,'ข้อมูลยา ห้ามแก้ไข'!$A$2:$A994,'ข้อมูลยา ห้ามแก้ไข'!$I$2:$I994,"notfound")</f>
        <v>IV bolus over 3-5 min or IV drip 30-60 min</v>
      </c>
      <c r="H19" s="30" t="str">
        <f t="array" ref="H19">XLOOKUP(A19,'ข้อมูลยา ห้ามแก้ไข'!$A$2:$A994,'ข้อมูลยา ห้ามแก้ไข'!$J$2:$J994,"not found")</f>
        <v/>
      </c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36" t="str">
        <f>'ข้อมูลยา ห้ามแก้ไข'!A20</f>
        <v>Cefotaxime 1 g</v>
      </c>
      <c r="B20" s="37" t="str">
        <f t="array" ref="B20">XLOOKUP(A20,'ข้อมูลยา ห้ามแก้ไข'!$A$2:$A994,'ข้อมูลยา ห้ามแก้ไข'!$B$2:$B994,"not found")</f>
        <v>SWI 9.6 ml</v>
      </c>
      <c r="C20" s="37" t="str">
        <f t="array" ref="C20">XLOOKUP(A20,'ข้อมูลยา ห้ามแก้ไข'!$A$2:$A994,'ข้อมูลยา ห้ามแก้ไข'!$C$2:$C994,"not found")</f>
        <v>10 ml</v>
      </c>
      <c r="D20" s="37" t="str">
        <f t="array" ref="D20">XLOOKUP(A20,'ข้อมูลยา ห้ามแก้ไข'!$A$2:$A994,'ข้อมูลยา ห้ามแก้ไข'!$D$2:$D994,"not found")</f>
        <v>100 mg/ml</v>
      </c>
      <c r="E20" s="31" t="str">
        <f t="array" ref="E20">XLOOKUP(A20,'ข้อมูลยา ห้ามแก้ไข'!$A$2:$A994,'ข้อมูลยา ห้ามแก้ไข'!$F$2:$F994,"not found")</f>
        <v>NSS D5W D10W</v>
      </c>
      <c r="F20" s="31" t="str">
        <f t="array" ref="F20">XLOOKUP(A20,'ข้อมูลยา ห้ามแก้ไข'!$A$2:$A994,'ข้อมูลยา ห้ามแก้ไข'!$G$2:$G994,"not found")</f>
        <v>IV bolus 50-100 mg/ml, IV infusion 10-40 mg/ml</v>
      </c>
      <c r="G20" s="31" t="str">
        <f t="array" ref="G20">XLOOKUP(A20,'ข้อมูลยา ห้ามแก้ไข'!$A$2:$A994,'ข้อมูลยา ห้ามแก้ไข'!$I$2:$I994,"notfound")</f>
        <v>IV drip in 30 min</v>
      </c>
      <c r="H20" s="30" t="str">
        <f t="array" ref="H20">XLOOKUP(A20,'ข้อมูลยา ห้ามแก้ไข'!$A$2:$A994,'ข้อมูลยา ห้ามแก้ไข'!$J$2:$J994,"not found")</f>
        <v/>
      </c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36" t="str">
        <f>'ข้อมูลยา ห้ามแก้ไข'!A21</f>
        <v>Ceftazidime 1 g</v>
      </c>
      <c r="B21" s="37" t="str">
        <f t="array" ref="B21">XLOOKUP(A21,'ข้อมูลยา ห้ามแก้ไข'!$A$2:$A994,'ข้อมูลยา ห้ามแก้ไข'!$B$2:$B994,"not found")</f>
        <v>SWI 9  ml</v>
      </c>
      <c r="C21" s="37" t="str">
        <f t="array" ref="C21">XLOOKUP(A21,'ข้อมูลยา ห้ามแก้ไข'!$A$2:$A994,'ข้อมูลยา ห้ามแก้ไข'!$C$2:$C994,"not found")</f>
        <v>10 ml</v>
      </c>
      <c r="D21" s="37" t="str">
        <f t="array" ref="D21">XLOOKUP(A21,'ข้อมูลยา ห้ามแก้ไข'!$A$2:$A994,'ข้อมูลยา ห้ามแก้ไข'!$D$2:$D994,"not found")</f>
        <v>100 mg/ml</v>
      </c>
      <c r="E21" s="31" t="str">
        <f t="array" ref="E21">XLOOKUP(A21,'ข้อมูลยา ห้ามแก้ไข'!$A$2:$A994,'ข้อมูลยา ห้ามแก้ไข'!$F$2:$F994,"not found")</f>
        <v>NSS D5W D10W</v>
      </c>
      <c r="F21" s="31" t="str">
        <f t="array" ref="F21">XLOOKUP(A21,'ข้อมูลยา ห้ามแก้ไข'!$A$2:$A994,'ข้อมูลยา ห้ามแก้ไข'!$G$2:$G994,"not found")</f>
        <v>1-40 mg/ml</v>
      </c>
      <c r="G21" s="31" t="str">
        <f t="array" ref="G21">XLOOKUP(A21,'ข้อมูลยา ห้ามแก้ไข'!$A$2:$A994,'ข้อมูลยา ห้ามแก้ไข'!$I$2:$I994,"notfound")</f>
        <v>IV drip over 30-60 min</v>
      </c>
      <c r="H21" s="30" t="str">
        <f t="array" ref="H21">XLOOKUP(A21,'ข้อมูลยา ห้ามแก้ไข'!$A$2:$A994,'ข้อมูลยา ห้ามแก้ไข'!$J$2:$J994,"not found")</f>
        <v>น้อยกว่า 1 g เจือจางในสารน้ำ 30-50 ml, มากกว่า 1 g เจือจางในสารน้ำ 60-100 ml</v>
      </c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36" t="str">
        <f>'ข้อมูลยา ห้ามแก้ไข'!A22</f>
        <v>Ceftriaxone 1 g</v>
      </c>
      <c r="B22" s="37" t="str">
        <f t="array" ref="B22">XLOOKUP(A22,'ข้อมูลยา ห้ามแก้ไข'!$A$2:$A994,'ข้อมูลยา ห้ามแก้ไข'!$B$2:$B994,"not found")</f>
        <v>SWI 9.5 ml</v>
      </c>
      <c r="C22" s="37" t="str">
        <f t="array" ref="C22">XLOOKUP(A22,'ข้อมูลยา ห้ามแก้ไข'!$A$2:$A994,'ข้อมูลยา ห้ามแก้ไข'!$C$2:$C994,"not found")</f>
        <v>10 ml</v>
      </c>
      <c r="D22" s="37" t="str">
        <f t="array" ref="D22">XLOOKUP(A22,'ข้อมูลยา ห้ามแก้ไข'!$A$2:$A994,'ข้อมูลยา ห้ามแก้ไข'!$D$2:$D994,"not found")</f>
        <v>100 mg/ml</v>
      </c>
      <c r="E22" s="31" t="str">
        <f t="array" ref="E22">XLOOKUP(A22,'ข้อมูลยา ห้ามแก้ไข'!$A$2:$A994,'ข้อมูลยา ห้ามแก้ไข'!$F$2:$F994,"not found")</f>
        <v>NSS D5W D10W</v>
      </c>
      <c r="F22" s="31" t="str">
        <f t="array" ref="F22">XLOOKUP(A22,'ข้อมูลยา ห้ามแก้ไข'!$A$2:$A994,'ข้อมูลยา ห้ามแก้ไข'!$G$2:$G994,"not found")</f>
        <v>10-40 mg/ml (or lower if necessary)</v>
      </c>
      <c r="G22" s="31" t="str">
        <f t="array" ref="G22">XLOOKUP(A22,'ข้อมูลยา ห้ามแก้ไข'!$A$2:$A994,'ข้อมูลยา ห้ามแก้ไข'!$I$2:$I994,"notfound")</f>
        <v>&lt;1 g IV drip in 30 min, &gt; 1 g  IV drip in 60 min</v>
      </c>
      <c r="H22" s="30" t="str">
        <f t="array" ref="H22">XLOOKUP(A22,'ข้อมูลยา ห้ามแก้ไข'!$A$2:$A994,'ข้อมูลยา ห้ามแก้ไข'!$J$2:$J994,"not found")</f>
        <v>น้อยกว่า 1 g เจือจางในสารน้ำ 30-50 ml, มากกว่า 1 g เจือจางในสารน้ำ 60-100 ml</v>
      </c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36" t="str">
        <f>'ข้อมูลยา ห้ามแก้ไข'!A23</f>
        <v>Cloxacillin 1 g</v>
      </c>
      <c r="B23" s="37" t="str">
        <f t="array" ref="B23">XLOOKUP(A23,'ข้อมูลยา ห้ามแก้ไข'!$A$2:$A994,'ข้อมูลยา ห้ามแก้ไข'!$B$2:$B994,"not found")</f>
        <v>IV bolus SWI 9.6 ml, IV infusion SWI 3.4 ml</v>
      </c>
      <c r="C23" s="37" t="str">
        <f t="array" ref="C23">XLOOKUP(A23,'ข้อมูลยา ห้ามแก้ไข'!$A$2:$A994,'ข้อมูลยา ห้ามแก้ไข'!$C$2:$C994,"not found")</f>
        <v>IV bolus 10 ml, IV infusion 4 ml</v>
      </c>
      <c r="D23" s="37" t="str">
        <f t="array" ref="D23">XLOOKUP(A23,'ข้อมูลยา ห้ามแก้ไข'!$A$2:$A994,'ข้อมูลยา ห้ามแก้ไข'!$D$2:$D994,"not found")</f>
        <v>IV bolus 100 mg/ml, IV infusion 250 mg/ml</v>
      </c>
      <c r="E23" s="31" t="str">
        <f t="array" ref="E23">XLOOKUP(A23,'ข้อมูลยา ห้ามแก้ไข'!$A$2:$A994,'ข้อมูลยา ห้ามแก้ไข'!$F$2:$F994,"not found")</f>
        <v>NSS D5W*</v>
      </c>
      <c r="F23" s="31" t="str">
        <f t="array" ref="F23">XLOOKUP(A23,'ข้อมูลยา ห้ามแก้ไข'!$A$2:$A994,'ข้อมูลยา ห้ามแก้ไข'!$G$2:$G994,"not found")</f>
        <v>IV push 50 or 10 mg/ml, IV infusion +solution to 100 ml</v>
      </c>
      <c r="G23" s="31" t="str">
        <f t="array" ref="G23">XLOOKUP(A23,'ข้อมูลยา ห้ามแก้ไข'!$A$2:$A994,'ข้อมูลยา ห้ามแก้ไข'!$I$2:$I994,"notfound")</f>
        <v>IV bolus over 2-4 min, IV drip over 30-40 min</v>
      </c>
      <c r="H23" s="30" t="str">
        <f t="array" ref="H23">XLOOKUP(A23,'ข้อมูลยา ห้ามแก้ไข'!$A$2:$A994,'ข้อมูลยา ห้ามแก้ไข'!$J$2:$J994,"not found")</f>
        <v>ให้ add  NSS to 100 ml 
***ใน D5W โอกาสเกิด phlebitis มากกว่า </v>
      </c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36" t="str">
        <f>'ข้อมูลยา ห้ามแก้ไข'!A24</f>
        <v>Colistin 150 mg</v>
      </c>
      <c r="B24" s="37" t="str">
        <f t="array" ref="B24">XLOOKUP(A24,'ข้อมูลยา ห้ามแก้ไข'!$A$2:$A994,'ข้อมูลยา ห้ามแก้ไข'!$B$2:$B994,"not found")</f>
        <v>SWI 2 ml</v>
      </c>
      <c r="C24" s="37" t="str">
        <f t="array" ref="C24">XLOOKUP(A24,'ข้อมูลยา ห้ามแก้ไข'!$A$2:$A994,'ข้อมูลยา ห้ามแก้ไข'!$C$2:$C994,"not found")</f>
        <v>2 ml</v>
      </c>
      <c r="D24" s="37" t="str">
        <f t="array" ref="D24">XLOOKUP(A24,'ข้อมูลยา ห้ามแก้ไข'!$A$2:$A994,'ข้อมูลยา ห้ามแก้ไข'!$D$2:$D994,"not found")</f>
        <v>75 mg/ml</v>
      </c>
      <c r="E24" s="31" t="str">
        <f t="array" ref="E24">XLOOKUP(A24,'ข้อมูลยา ห้ามแก้ไข'!$A$2:$A994,'ข้อมูลยา ห้ามแก้ไข'!$F$2:$F994,"not found")</f>
        <v>NSS, D5W, D5S, D10W, SWI</v>
      </c>
      <c r="F24" s="31" t="str">
        <f t="array" ref="F24">XLOOKUP(A24,'ข้อมูลยา ห้ามแก้ไข'!$A$2:$A994,'ข้อมูลยา ห้ามแก้ไข'!$G$2:$G994,"not found")</f>
        <v>75 mg/ml</v>
      </c>
      <c r="G24" s="31" t="str">
        <f t="array" ref="G24">XLOOKUP(A24,'ข้อมูลยา ห้ามแก้ไข'!$A$2:$A994,'ข้อมูลยา ห้ามแก้ไข'!$I$2:$I994,"notfound")</f>
        <v>IV drip 30-60 min</v>
      </c>
      <c r="H24" s="30" t="str">
        <f t="array" ref="H24">XLOOKUP(A24,'ข้อมูลยา ห้ามแก้ไข'!$A$2:$A994,'ข้อมูลยา ห้ามแก้ไข'!$J$2:$J994,"not found")</f>
        <v/>
      </c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36" t="str">
        <f>'ข้อมูลยา ห้ามแก้ไข'!A25</f>
        <v>Hydrocortisone 100 mg</v>
      </c>
      <c r="B25" s="37" t="str">
        <f t="array" ref="B25">XLOOKUP(A25,'ข้อมูลยา ห้ามแก้ไข'!$A$2:$A994,'ข้อมูลยา ห้ามแก้ไข'!$B$2:$B994,"not found")</f>
        <v>SWI 1.8 ml</v>
      </c>
      <c r="C25" s="37" t="str">
        <f t="array" ref="C25">XLOOKUP(A25,'ข้อมูลยา ห้ามแก้ไข'!$A$2:$A994,'ข้อมูลยา ห้ามแก้ไข'!$C$2:$C994,"not found")</f>
        <v>2 ml</v>
      </c>
      <c r="D25" s="37" t="str">
        <f t="array" ref="D25">XLOOKUP(A25,'ข้อมูลยา ห้ามแก้ไข'!$A$2:$A994,'ข้อมูลยา ห้ามแก้ไข'!$D$2:$D994,"not found")</f>
        <v>50 mg/ml</v>
      </c>
      <c r="E25" s="31" t="str">
        <f t="array" ref="E25">XLOOKUP(A25,'ข้อมูลยา ห้ามแก้ไข'!$A$2:$A994,'ข้อมูลยา ห้ามแก้ไข'!$F$2:$F994,"not found")</f>
        <v>NSS D5W</v>
      </c>
      <c r="F25" s="31" t="str">
        <f t="array" ref="F25">XLOOKUP(A25,'ข้อมูลยา ห้ามแก้ไข'!$A$2:$A994,'ข้อมูลยา ห้ามแก้ไข'!$G$2:$G994,"not found")</f>
        <v>IV infusion 1 mg/ml, fluid-restricted pt. IV bolus up to 3000 mg + 50 ml and IV infusion 1,2,5 mg/ml</v>
      </c>
      <c r="G25" s="31" t="str">
        <f t="array" ref="G25">XLOOKUP(A25,'ข้อมูลยา ห้ามแก้ไข'!$A$2:$A994,'ข้อมูลยา ห้ามแก้ไข'!$I$2:$I994,"notfound")</f>
        <v>IV bolus 30 sec. (100 mg) to 10 min (500 mg and more), </v>
      </c>
      <c r="H25" s="30" t="str">
        <f t="array" ref="H25">XLOOKUP(A25,'ข้อมูลยา ห้ามแก้ไข'!$A$2:$A994,'ข้อมูลยา ห้ามแก้ไข'!$J$2:$J994,"not found")</f>
        <v/>
      </c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36" t="str">
        <f>'ข้อมูลยา ห้ามแก้ไข'!A26</f>
        <v>Meropenem 1 g</v>
      </c>
      <c r="B26" s="37" t="str">
        <f t="array" ref="B26">XLOOKUP(A26,'ข้อมูลยา ห้ามแก้ไข'!$A$2:$A994,'ข้อมูลยา ห้ามแก้ไข'!$B$2:$B994,"not found")</f>
        <v>SWI 19 ml</v>
      </c>
      <c r="C26" s="37" t="str">
        <f t="array" ref="C26">XLOOKUP(A26,'ข้อมูลยา ห้ามแก้ไข'!$A$2:$A994,'ข้อมูลยา ห้ามแก้ไข'!$C$2:$C994,"not found")</f>
        <v>20 ml</v>
      </c>
      <c r="D26" s="37" t="str">
        <f t="array" ref="D26">XLOOKUP(A26,'ข้อมูลยา ห้ามแก้ไข'!$A$2:$A994,'ข้อมูลยา ห้ามแก้ไข'!$D$2:$D994,"not found")</f>
        <v>50 mg/ml</v>
      </c>
      <c r="E26" s="31" t="str">
        <f t="array" ref="E26">XLOOKUP(A26,'ข้อมูลยา ห้ามแก้ไข'!$A$2:$A994,'ข้อมูลยา ห้ามแก้ไข'!$F$2:$F994,"not found")</f>
        <v>NSS D5W D10W</v>
      </c>
      <c r="F26" s="31" t="str">
        <f t="array" ref="F26">XLOOKUP(A26,'ข้อมูลยา ห้ามแก้ไข'!$A$2:$A994,'ข้อมูลยา ห้ามแก้ไข'!$G$2:$G994,"not found")</f>
        <v>1-20 mg/ml</v>
      </c>
      <c r="G26" s="31" t="str">
        <f t="array" ref="G26">XLOOKUP(A26,'ข้อมูลยา ห้ามแก้ไข'!$A$2:$A994,'ข้อมูลยา ห้ามแก้ไข'!$I$2:$I994,"notfound")</f>
        <v>IV drip over 30 min</v>
      </c>
      <c r="H26" s="30" t="str">
        <f t="array" ref="H26">XLOOKUP(A26,'ข้อมูลยา ห้ามแก้ไข'!$A$2:$A994,'ข้อมูลยา ห้ามแก้ไข'!$J$2:$J994,"not found")</f>
        <v/>
      </c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36" t="str">
        <f>'ข้อมูลยา ห้ามแก้ไข'!A27</f>
        <v>Omeprazole 40 mg</v>
      </c>
      <c r="B27" s="37" t="str">
        <f t="array" ref="B27">XLOOKUP(A27,'ข้อมูลยา ห้ามแก้ไข'!$A$2:$A994,'ข้อมูลยา ห้ามแก้ไข'!$B$2:$B994,"not found")</f>
        <v>SWI 10 ml</v>
      </c>
      <c r="C27" s="37" t="str">
        <f t="array" ref="C27">XLOOKUP(A27,'ข้อมูลยา ห้ามแก้ไข'!$A$2:$A994,'ข้อมูลยา ห้ามแก้ไข'!$C$2:$C994,"not found")</f>
        <v>-</v>
      </c>
      <c r="D27" s="37" t="str">
        <f t="array" ref="D27">XLOOKUP(A27,'ข้อมูลยา ห้ามแก้ไข'!$A$2:$A994,'ข้อมูลยา ห้ามแก้ไข'!$D$2:$D994,"not found")</f>
        <v>4 mg/ml</v>
      </c>
      <c r="E27" s="31" t="str">
        <f t="array" ref="E27">XLOOKUP(A27,'ข้อมูลยา ห้ามแก้ไข'!$A$2:$A994,'ข้อมูลยา ห้ามแก้ไข'!$F$2:$F994,"not found")</f>
        <v>NSS</v>
      </c>
      <c r="F27" s="31" t="str">
        <f t="array" ref="F27">XLOOKUP(A27,'ข้อมูลยา ห้ามแก้ไข'!$A$2:$A994,'ข้อมูลยา ห้ามแก้ไข'!$G$2:$G994,"not found")</f>
        <v>direct IV or dilute 50-100 ml  iv infusion</v>
      </c>
      <c r="G27" s="31" t="str">
        <f t="array" ref="G27">XLOOKUP(A27,'ข้อมูลยา ห้ามแก้ไข'!$A$2:$A994,'ข้อมูลยา ห้ามแก้ไข'!$I$2:$I994,"notfound")</f>
        <v>direct IV 40 mg over 5 min  or IV drip 20-30 min</v>
      </c>
      <c r="H27" s="30" t="str">
        <f t="array" ref="H27">XLOOKUP(A27,'ข้อมูลยา ห้ามแก้ไข'!$A$2:$A994,'ข้อมูลยา ห้ามแก้ไข'!$J$2:$J994,"not found")</f>
        <v>infusion เจือจางในสารน้ำ 50-100 ml</v>
      </c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36" t="str">
        <f>'ข้อมูลยา ห้ามแก้ไข'!A28</f>
        <v>Penicillin G Sodium 5 MU</v>
      </c>
      <c r="B28" s="37" t="str">
        <f t="array" ref="B28">XLOOKUP(A28,'ข้อมูลยา ห้ามแก้ไข'!$A$2:$A994,'ข้อมูลยา ห้ามแก้ไข'!$B$2:$B994,"not found")</f>
        <v>SWI 8 ml</v>
      </c>
      <c r="C28" s="37" t="str">
        <f t="array" ref="C28">XLOOKUP(A28,'ข้อมูลยา ห้ามแก้ไข'!$A$2:$A994,'ข้อมูลยา ห้ามแก้ไข'!$C$2:$C994,"not found")</f>
        <v>10 ml</v>
      </c>
      <c r="D28" s="37" t="str">
        <f t="array" ref="D28">XLOOKUP(A28,'ข้อมูลยา ห้ามแก้ไข'!$A$2:$A994,'ข้อมูลยา ห้ามแก้ไข'!$D$2:$D994,"not found")</f>
        <v>500,000 unit/ml</v>
      </c>
      <c r="E28" s="31" t="str">
        <f t="array" ref="E28">XLOOKUP(A28,'ข้อมูลยา ห้ามแก้ไข'!$A$2:$A994,'ข้อมูลยา ห้ามแก้ไข'!$F$2:$F994,"not found")</f>
        <v>NSS D5W</v>
      </c>
      <c r="F28" s="31" t="str">
        <f t="array" ref="F28">XLOOKUP(A28,'ข้อมูลยา ห้ามแก้ไข'!$A$2:$A994,'ข้อมูลยา ห้ามแก้ไข'!$G$2:$G994,"not found")</f>
        <v>50,000-100,000 unit/ml (in neonate 25,000 unit/ml has been used)</v>
      </c>
      <c r="G28" s="31" t="str">
        <f t="array" ref="G28">XLOOKUP(A28,'ข้อมูลยา ห้ามแก้ไข'!$A$2:$A994,'ข้อมูลยา ห้ามแก้ไข'!$I$2:$I994,"notfound")</f>
        <v>IV drip : add solution up to 30 ml drip over 15-30 min</v>
      </c>
      <c r="H28" s="30" t="str">
        <f t="array" ref="H28">XLOOKUP(A28,'ข้อมูลยา ห้ามแก้ไข'!$A$2:$A994,'ข้อมูลยา ห้ามแก้ไข'!$J$2:$J994,"not found")</f>
        <v/>
      </c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36" t="str">
        <f>'ข้อมูลยา ห้ามแก้ไข'!A29</f>
        <v>Piperacillin+tazobactam 4.5 g</v>
      </c>
      <c r="B29" s="37" t="str">
        <f t="array" ref="B29">XLOOKUP(A29,'ข้อมูลยา ห้ามแก้ไข'!$A$2:$A994,'ข้อมูลยา ห้ามแก้ไข'!$B$2:$B994,"not found")</f>
        <v>SWI 20 ML</v>
      </c>
      <c r="C29" s="37" t="str">
        <f t="array" ref="C29">XLOOKUP(A29,'ข้อมูลยา ห้ามแก้ไข'!$A$2:$A994,'ข้อมูลยา ห้ามแก้ไข'!$C$2:$C994,"not found")</f>
        <v>-</v>
      </c>
      <c r="D29" s="37" t="str">
        <f t="array" ref="D29">XLOOKUP(A29,'ข้อมูลยา ห้ามแก้ไข'!$A$2:$A994,'ข้อมูลยา ห้ามแก้ไข'!$D$2:$D994,"not found")</f>
        <v>180 mg/mL</v>
      </c>
      <c r="E29" s="31" t="str">
        <f t="array" ref="E29">XLOOKUP(A29,'ข้อมูลยา ห้ามแก้ไข'!$A$2:$A994,'ข้อมูลยา ห้ามแก้ไข'!$F$2:$F994,"not found")</f>
        <v>NSS D5W</v>
      </c>
      <c r="F29" s="31" t="str">
        <f t="array" ref="F29">XLOOKUP(A29,'ข้อมูลยา ห้ามแก้ไข'!$A$2:$A994,'ข้อมูลยา ห้ามแก้ไข'!$G$2:$G994,"not found")</f>
        <v>20-80 mg/ml of piperacillin </v>
      </c>
      <c r="G29" s="31" t="str">
        <f t="array" ref="G29">XLOOKUP(A29,'ข้อมูลยา ห้ามแก้ไข'!$A$2:$A994,'ข้อมูลยา ห้ามแก้ไข'!$I$2:$I994,"notfound")</f>
        <v>IV drip over 30 min</v>
      </c>
      <c r="H29" s="30" t="str">
        <f t="array" ref="H29">XLOOKUP(A29,'ข้อมูลยา ห้ามแก้ไข'!$A$2:$A994,'ข้อมูลยา ห้ามแก้ไข'!$J$2:$J994,"not found")</f>
        <v/>
      </c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36" t="str">
        <f>'ข้อมูลยา ห้ามแก้ไข'!A30</f>
        <v>Vancomycin 500 mg</v>
      </c>
      <c r="B30" s="37" t="str">
        <f t="array" ref="B30">XLOOKUP(A30,'ข้อมูลยา ห้ามแก้ไข'!$A$2:$A994,'ข้อมูลยา ห้ามแก้ไข'!$B$2:$B994,"not found")</f>
        <v>SWI 10 ml</v>
      </c>
      <c r="C30" s="37" t="str">
        <f t="array" ref="C30">XLOOKUP(A30,'ข้อมูลยา ห้ามแก้ไข'!$A$2:$A994,'ข้อมูลยา ห้ามแก้ไข'!$C$2:$C994,"not found")</f>
        <v>-</v>
      </c>
      <c r="D30" s="37" t="str">
        <f t="array" ref="D30">XLOOKUP(A30,'ข้อมูลยา ห้ามแก้ไข'!$A$2:$A994,'ข้อมูลยา ห้ามแก้ไข'!$D$2:$D994,"not found")</f>
        <v>50 mg/ml</v>
      </c>
      <c r="E30" s="31" t="str">
        <f t="array" ref="E30">XLOOKUP(A30,'ข้อมูลยา ห้ามแก้ไข'!$A$2:$A994,'ข้อมูลยา ห้ามแก้ไข'!$F$2:$F994,"not found")</f>
        <v>NSS D5W</v>
      </c>
      <c r="F30" s="31" t="str">
        <f t="array" ref="F30">XLOOKUP(A30,'ข้อมูลยา ห้ามแก้ไข'!$A$2:$A994,'ข้อมูลยา ห้ามแก้ไข'!$G$2:$G994,"not found")</f>
        <v>5 mg/ml</v>
      </c>
      <c r="G30" s="31" t="str">
        <f t="array" ref="G30">XLOOKUP(A30,'ข้อมูลยา ห้ามแก้ไข'!$A$2:$A994,'ข้อมูลยา ห้ามแก้ไข'!$I$2:$I994,"notfound")</f>
        <v>max rate 10 mg/min</v>
      </c>
      <c r="H30" s="30" t="str">
        <f t="array" ref="H30">XLOOKUP(A30,'ข้อมูลยา ห้ามแก้ไข'!$A$2:$A994,'ข้อมูลยา ห้ามแก้ไข'!$J$2:$J994,"not found")</f>
        <v/>
      </c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36" t="str">
        <f>'ข้อมูลยา ห้ามแก้ไข'!A31</f>
        <v>Acyclovir 250 mg</v>
      </c>
      <c r="B31" s="37" t="str">
        <f t="array" ref="B31">XLOOKUP(A31,'ข้อมูลยา ห้ามแก้ไข'!$A$2:$A994,'ข้อมูลยา ห้ามแก้ไข'!$B$2:$B994,"not found")</f>
        <v>SWI 10 ML</v>
      </c>
      <c r="C31" s="37" t="str">
        <f t="array" ref="C31">XLOOKUP(A31,'ข้อมูลยา ห้ามแก้ไข'!$A$2:$A994,'ข้อมูลยา ห้ามแก้ไข'!$C$2:$C994,"not found")</f>
        <v>-</v>
      </c>
      <c r="D31" s="37" t="str">
        <f t="array" ref="D31">XLOOKUP(A31,'ข้อมูลยา ห้ามแก้ไข'!$A$2:$A994,'ข้อมูลยา ห้ามแก้ไข'!$D$2:$D994,"not found")</f>
        <v>25 mg/ml</v>
      </c>
      <c r="E31" s="31" t="str">
        <f t="array" ref="E31">XLOOKUP(A31,'ข้อมูลยา ห้ามแก้ไข'!$A$2:$A994,'ข้อมูลยา ห้ามแก้ไข'!$F$2:$F994,"not found")</f>
        <v>NSS</v>
      </c>
      <c r="F31" s="31" t="str">
        <f t="array" ref="F31">XLOOKUP(A31,'ข้อมูลยา ห้ามแก้ไข'!$A$2:$A994,'ข้อมูลยา ห้ามแก้ไข'!$G$2:$G994,"not found")</f>
        <v>&lt;5</v>
      </c>
      <c r="G31" s="31" t="str">
        <f t="array" ref="G31">XLOOKUP(A31,'ข้อมูลยา ห้ามแก้ไข'!$A$2:$A994,'ข้อมูลยา ห้ามแก้ไข'!$I$2:$I994,"notfound")</f>
        <v>IV drip conc &lt;5 mg/ml drip over 1 hr</v>
      </c>
      <c r="H31" s="30" t="str">
        <f t="array" ref="H31">XLOOKUP(A31,'ข้อมูลยา ห้ามแก้ไข'!$A$2:$A994,'ข้อมูลยา ห้ามแก้ไข'!$J$2:$J994,"not found")</f>
        <v>IV drip conc &lt;5 mg/ml</v>
      </c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7" t="str">
        <f>'ข้อมูลยา ห้ามแก้ไข'!A32</f>
        <v>Amikacin sulfate  500 mg/2 ml</v>
      </c>
      <c r="B32" s="37">
        <f t="array" ref="B32">XLOOKUP(A32,'ข้อมูลยา ห้ามแก้ไข'!$A$2:$A994,'ข้อมูลยา ห้ามแก้ไข'!$B$2:$B994,"not found")</f>
        <v>0</v>
      </c>
      <c r="C32" s="37" t="str">
        <f t="array" ref="C32">XLOOKUP(A32,'ข้อมูลยา ห้ามแก้ไข'!$A$2:$A994,'ข้อมูลยา ห้ามแก้ไข'!$C$2:$C994,"not found")</f>
        <v>-</v>
      </c>
      <c r="D32" s="37" t="str">
        <f t="array" ref="D32">XLOOKUP(A32,'ข้อมูลยา ห้ามแก้ไข'!$A$2:$A994,'ข้อมูลยา ห้ามแก้ไข'!$D$2:$D994,"not found")</f>
        <v>250 MG/ml</v>
      </c>
      <c r="E32" s="31" t="str">
        <f t="array" ref="E32">XLOOKUP(A32,'ข้อมูลยา ห้ามแก้ไข'!$A$2:$A994,'ข้อมูลยา ห้ามแก้ไข'!$F$2:$F994,"not found")</f>
        <v>D5W NSS</v>
      </c>
      <c r="F32" s="31" t="str">
        <f t="array" ref="F32">XLOOKUP(A32,'ข้อมูลยา ห้ามแก้ไข'!$A$2:$A994,'ข้อมูลยา ห้ามแก้ไข'!$G$2:$G994,"not found")</f>
        <v>2.5- 10 mg/ml</v>
      </c>
      <c r="G32" s="31" t="str">
        <f t="array" ref="G32">XLOOKUP(A32,'ข้อมูลยา ห้ามแก้ไข'!$A$2:$A994,'ข้อมูลยา ห้ามแก้ไข'!$I$2:$I994,"notfound")</f>
        <v>IV drip in 30 min</v>
      </c>
      <c r="H32" s="30" t="str">
        <f t="array" ref="H32">XLOOKUP(A32,'ข้อมูลยา ห้ามแก้ไข'!$A$2:$A994,'ข้อมูลยา ห้ามแก้ไข'!$J$2:$J994,"not found")</f>
        <v/>
      </c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7" t="str">
        <f>'ข้อมูลยา ห้ามแก้ไข'!A33</f>
        <v>Clindamycin 600 mg/4ml</v>
      </c>
      <c r="B33" s="37">
        <f t="array" ref="B33">XLOOKUP(A33,'ข้อมูลยา ห้ามแก้ไข'!$A$2:$A994,'ข้อมูลยา ห้ามแก้ไข'!$B$2:$B994,"not found")</f>
        <v>0</v>
      </c>
      <c r="C33" s="37" t="str">
        <f t="array" ref="C33">XLOOKUP(A33,'ข้อมูลยา ห้ามแก้ไข'!$A$2:$A994,'ข้อมูลยา ห้ามแก้ไข'!$C$2:$C994,"not found")</f>
        <v>-</v>
      </c>
      <c r="D33" s="37" t="str">
        <f t="array" ref="D33">XLOOKUP(A33,'ข้อมูลยา ห้ามแก้ไข'!$A$2:$A994,'ข้อมูลยา ห้ามแก้ไข'!$D$2:$D994,"not found")</f>
        <v>150 mg/ml</v>
      </c>
      <c r="E33" s="31" t="str">
        <f t="array" ref="E33">XLOOKUP(A33,'ข้อมูลยา ห้ามแก้ไข'!$A$2:$A994,'ข้อมูลยา ห้ามแก้ไข'!$F$2:$F994,"not found")</f>
        <v>D5W D10W NSS</v>
      </c>
      <c r="F33" s="31" t="str">
        <f t="array" ref="F33">XLOOKUP(A33,'ข้อมูลยา ห้ามแก้ไข'!$A$2:$A994,'ข้อมูลยา ห้ามแก้ไข'!$G$2:$G994,"not found")</f>
        <v>max 18 mg/ml standard conc. 6 mg/ml or 12 mg/ml or 18 mg/ml</v>
      </c>
      <c r="G33" s="31" t="str">
        <f t="array" ref="G33">XLOOKUP(A33,'ข้อมูลยา ห้ามแก้ไข'!$A$2:$A994,'ข้อมูลยา ห้ามแก้ไข'!$I$2:$I994,"notfound")</f>
        <v>IV drip in 10-60 min not exceed 30 mg/min</v>
      </c>
      <c r="H33" s="30" t="str">
        <f t="array" ref="H33">XLOOKUP(A33,'ข้อมูลยา ห้ามแก้ไข'!$A$2:$A994,'ข้อมูลยา ห้ามแก้ไข'!$J$2:$J994,"not found")</f>
        <v/>
      </c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7" t="str">
        <f>'ข้อมูลยา ห้ามแก้ไข'!A34</f>
        <v>Amiodarone Hydrochloride 50 mg/ml</v>
      </c>
      <c r="B34" s="28"/>
      <c r="C34" s="28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7" t="str">
        <f>'ข้อมูลยา ห้ามแก้ไข'!A35</f>
        <v>DIGOXIN IV 0.25 mg/ml</v>
      </c>
      <c r="B35" s="28"/>
      <c r="C35" s="28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7" t="str">
        <f>'ข้อมูลยา ห้ามแก้ไข'!A36</f>
        <v>DIPOTASSIUM PHOSPHATE 1meq/ml</v>
      </c>
      <c r="B36" s="28"/>
      <c r="C36" s="28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7" t="str">
        <f>'ข้อมูลยา ห้ามแก้ไข'!A37</f>
        <v>50%MAGNESIUM SULFATE 0.5 g/ml</v>
      </c>
      <c r="B37" s="28"/>
      <c r="C37" s="28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7" t="str">
        <f>'ข้อมูลยา ห้ามแก้ไข'!A38</f>
        <v/>
      </c>
      <c r="B38" s="28"/>
      <c r="C38" s="28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7" t="str">
        <f>'ข้อมูลยา ห้ามแก้ไข'!A39</f>
        <v/>
      </c>
      <c r="B39" s="28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7" t="str">
        <f>'ข้อมูลยา ห้ามแก้ไข'!A40</f>
        <v/>
      </c>
      <c r="B40" s="28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8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</sheetData>
  <printOptions gridLines="1" horizontalCentered="1"/>
  <pageMargins bottom="0.3041260260239354" footer="0.0" header="0.0" left="0.25" right="0.25" top="0.35020572693665286"/>
  <pageSetup fitToHeight="0" paperSize="12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36.63"/>
    <col customWidth="1" min="2" max="2" width="9.63"/>
    <col customWidth="1" min="3" max="3" width="7.13"/>
    <col customWidth="1" min="4" max="4" width="13.0"/>
    <col customWidth="1" min="5" max="5" width="7.75"/>
    <col customWidth="1" min="6" max="6" width="19.63"/>
    <col customWidth="1" min="7" max="7" width="34.5"/>
    <col customWidth="1" min="8" max="8" width="14.13"/>
    <col customWidth="1" min="9" max="9" width="40.25"/>
    <col customWidth="1" min="10" max="10" width="40.63"/>
    <col customWidth="1" min="11" max="11" width="39.63"/>
    <col customWidth="1" min="12" max="12" width="18.75"/>
    <col customWidth="1" min="13" max="14" width="18.5"/>
    <col customWidth="1" min="16" max="16" width="33.88"/>
  </cols>
  <sheetData>
    <row r="1">
      <c r="A1" s="38">
        <v>250.0</v>
      </c>
      <c r="B1" s="38" t="s">
        <v>28</v>
      </c>
      <c r="C1" s="38" t="s">
        <v>22</v>
      </c>
      <c r="D1" s="38" t="s">
        <v>23</v>
      </c>
      <c r="E1" s="38" t="s">
        <v>29</v>
      </c>
      <c r="F1" s="38" t="s">
        <v>24</v>
      </c>
      <c r="G1" s="38" t="s">
        <v>25</v>
      </c>
      <c r="H1" s="38" t="s">
        <v>30</v>
      </c>
      <c r="I1" s="38" t="s">
        <v>26</v>
      </c>
      <c r="J1" s="38" t="s">
        <v>31</v>
      </c>
      <c r="K1" s="38" t="s">
        <v>32</v>
      </c>
      <c r="L1" s="38" t="s">
        <v>33</v>
      </c>
      <c r="M1" s="38" t="s">
        <v>34</v>
      </c>
      <c r="N1" s="38" t="s">
        <v>35</v>
      </c>
      <c r="O1" s="39" t="s">
        <v>8</v>
      </c>
      <c r="P1" s="39" t="s">
        <v>36</v>
      </c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</row>
    <row r="2">
      <c r="A2" s="38" t="s">
        <v>37</v>
      </c>
      <c r="B2" s="38">
        <v>0.0</v>
      </c>
      <c r="C2" s="38" t="s">
        <v>38</v>
      </c>
      <c r="D2" s="38" t="s">
        <v>39</v>
      </c>
      <c r="E2" s="38">
        <v>1.0</v>
      </c>
      <c r="F2" s="38" t="s">
        <v>40</v>
      </c>
      <c r="G2" s="38" t="s">
        <v>41</v>
      </c>
      <c r="H2" s="38" t="s">
        <v>38</v>
      </c>
      <c r="I2" s="38"/>
      <c r="J2" s="41" t="s">
        <v>42</v>
      </c>
      <c r="K2" s="40"/>
      <c r="L2" s="40"/>
      <c r="M2" s="40"/>
      <c r="N2" s="40"/>
      <c r="O2" s="40"/>
      <c r="P2" s="39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</row>
    <row r="3">
      <c r="A3" s="42" t="s">
        <v>43</v>
      </c>
      <c r="B3" s="38">
        <v>0.0</v>
      </c>
      <c r="C3" s="38" t="s">
        <v>38</v>
      </c>
      <c r="D3" s="41" t="s">
        <v>44</v>
      </c>
      <c r="E3" s="43">
        <v>0.45</v>
      </c>
      <c r="F3" s="38" t="s">
        <v>45</v>
      </c>
      <c r="G3" s="38" t="s">
        <v>46</v>
      </c>
      <c r="H3" s="38">
        <v>5.8</v>
      </c>
      <c r="I3" s="38" t="s">
        <v>47</v>
      </c>
      <c r="J3" s="44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</row>
    <row r="4">
      <c r="A4" s="42" t="s">
        <v>48</v>
      </c>
      <c r="B4" s="38">
        <v>0.0</v>
      </c>
      <c r="C4" s="38" t="s">
        <v>38</v>
      </c>
      <c r="D4" s="38" t="s">
        <v>49</v>
      </c>
      <c r="E4" s="38">
        <v>2.0</v>
      </c>
      <c r="F4" s="38" t="s">
        <v>50</v>
      </c>
      <c r="G4" s="38" t="s">
        <v>51</v>
      </c>
      <c r="H4" s="38">
        <v>0.5</v>
      </c>
      <c r="I4" s="38" t="s">
        <v>52</v>
      </c>
      <c r="J4" s="44"/>
      <c r="K4" s="39" t="s">
        <v>53</v>
      </c>
      <c r="L4" s="39">
        <v>20.0</v>
      </c>
      <c r="M4" s="39">
        <v>30.0</v>
      </c>
      <c r="N4" s="39">
        <v>2.0</v>
      </c>
      <c r="O4" s="39" t="s">
        <v>54</v>
      </c>
      <c r="P4" s="39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</row>
    <row r="5">
      <c r="A5" s="42" t="s">
        <v>55</v>
      </c>
      <c r="B5" s="38">
        <v>0.0</v>
      </c>
      <c r="C5" s="38" t="s">
        <v>38</v>
      </c>
      <c r="D5" s="38" t="s">
        <v>56</v>
      </c>
      <c r="E5" s="38">
        <v>4.0</v>
      </c>
      <c r="F5" s="38" t="s">
        <v>45</v>
      </c>
      <c r="G5" s="38" t="s">
        <v>57</v>
      </c>
      <c r="H5" s="38">
        <v>0.1</v>
      </c>
      <c r="I5" s="38" t="s">
        <v>38</v>
      </c>
      <c r="J5" s="44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</row>
    <row r="6">
      <c r="A6" s="42" t="s">
        <v>58</v>
      </c>
      <c r="B6" s="38">
        <v>0.0</v>
      </c>
      <c r="C6" s="38" t="s">
        <v>38</v>
      </c>
      <c r="D6" s="38" t="s">
        <v>59</v>
      </c>
      <c r="E6" s="38">
        <v>5.0</v>
      </c>
      <c r="F6" s="38"/>
      <c r="G6" s="38"/>
      <c r="H6" s="38"/>
      <c r="I6" s="38"/>
      <c r="J6" s="44"/>
      <c r="K6" s="39" t="s">
        <v>60</v>
      </c>
      <c r="L6" s="39">
        <v>0.2</v>
      </c>
      <c r="M6" s="39">
        <v>0.3</v>
      </c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</row>
    <row r="7">
      <c r="A7" s="42" t="s">
        <v>61</v>
      </c>
      <c r="B7" s="38">
        <v>0.0</v>
      </c>
      <c r="C7" s="38" t="s">
        <v>38</v>
      </c>
      <c r="D7" s="38" t="s">
        <v>62</v>
      </c>
      <c r="E7" s="38">
        <v>40.0</v>
      </c>
      <c r="F7" s="38" t="s">
        <v>45</v>
      </c>
      <c r="G7" s="38" t="s">
        <v>63</v>
      </c>
      <c r="H7" s="38">
        <v>1.0</v>
      </c>
      <c r="I7" s="38" t="s">
        <v>64</v>
      </c>
      <c r="J7" s="44"/>
      <c r="K7" s="39" t="s">
        <v>65</v>
      </c>
      <c r="L7" s="39">
        <v>5.0</v>
      </c>
      <c r="M7" s="39">
        <v>7.0</v>
      </c>
      <c r="N7" s="39">
        <v>3.0</v>
      </c>
      <c r="O7" s="39" t="s">
        <v>66</v>
      </c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</row>
    <row r="8">
      <c r="A8" s="38" t="s">
        <v>67</v>
      </c>
      <c r="B8" s="38">
        <v>0.0</v>
      </c>
      <c r="C8" s="38" t="s">
        <v>38</v>
      </c>
      <c r="D8" s="38" t="s">
        <v>68</v>
      </c>
      <c r="E8" s="38">
        <v>100.0</v>
      </c>
      <c r="F8" s="38" t="s">
        <v>69</v>
      </c>
      <c r="G8" s="38" t="s">
        <v>70</v>
      </c>
      <c r="H8" s="38">
        <v>15.0</v>
      </c>
      <c r="I8" s="38" t="s">
        <v>71</v>
      </c>
      <c r="J8" s="44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</row>
    <row r="9">
      <c r="A9" s="38" t="s">
        <v>72</v>
      </c>
      <c r="B9" s="38">
        <v>0.0</v>
      </c>
      <c r="C9" s="38" t="s">
        <v>38</v>
      </c>
      <c r="D9" s="38" t="s">
        <v>62</v>
      </c>
      <c r="E9" s="38">
        <v>40.0</v>
      </c>
      <c r="F9" s="38" t="s">
        <v>73</v>
      </c>
      <c r="G9" s="38" t="s">
        <v>74</v>
      </c>
      <c r="H9" s="38">
        <v>2.5</v>
      </c>
      <c r="I9" s="38" t="s">
        <v>75</v>
      </c>
      <c r="J9" s="44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</row>
    <row r="10">
      <c r="A10" s="42" t="s">
        <v>76</v>
      </c>
      <c r="B10" s="38">
        <v>0.0</v>
      </c>
      <c r="C10" s="38" t="s">
        <v>38</v>
      </c>
      <c r="D10" s="38" t="s">
        <v>59</v>
      </c>
      <c r="E10" s="38">
        <v>5.0</v>
      </c>
      <c r="F10" s="38" t="s">
        <v>77</v>
      </c>
      <c r="G10" s="38" t="s">
        <v>78</v>
      </c>
      <c r="H10" s="38">
        <v>8.0</v>
      </c>
      <c r="I10" s="38" t="s">
        <v>79</v>
      </c>
      <c r="J10" s="44"/>
      <c r="K10" s="39" t="s">
        <v>80</v>
      </c>
      <c r="L10" s="39">
        <v>22.5</v>
      </c>
      <c r="M10" s="39">
        <v>40.0</v>
      </c>
      <c r="N10" s="39">
        <v>3.0</v>
      </c>
      <c r="O10" s="39" t="s">
        <v>66</v>
      </c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</row>
    <row r="11">
      <c r="A11" s="39" t="s">
        <v>81</v>
      </c>
      <c r="B11" s="38">
        <v>0.0</v>
      </c>
      <c r="C11" s="38" t="s">
        <v>38</v>
      </c>
      <c r="D11" s="38" t="s">
        <v>49</v>
      </c>
      <c r="E11" s="38">
        <v>2.0</v>
      </c>
      <c r="F11" s="38"/>
      <c r="G11" s="38"/>
      <c r="H11" s="38"/>
      <c r="I11" s="38"/>
      <c r="J11" s="44"/>
      <c r="K11" s="39" t="s">
        <v>82</v>
      </c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</row>
    <row r="12">
      <c r="A12" s="42" t="s">
        <v>83</v>
      </c>
      <c r="B12" s="38">
        <v>0.0</v>
      </c>
      <c r="C12" s="38" t="s">
        <v>38</v>
      </c>
      <c r="D12" s="38" t="s">
        <v>84</v>
      </c>
      <c r="E12" s="38">
        <v>200.0</v>
      </c>
      <c r="F12" s="38" t="s">
        <v>45</v>
      </c>
      <c r="G12" s="38" t="s">
        <v>85</v>
      </c>
      <c r="H12" s="38">
        <v>10.0</v>
      </c>
      <c r="I12" s="38" t="s">
        <v>86</v>
      </c>
      <c r="J12" s="44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</row>
    <row r="13">
      <c r="A13" s="42" t="s">
        <v>87</v>
      </c>
      <c r="B13" s="38">
        <v>0.0</v>
      </c>
      <c r="C13" s="38" t="s">
        <v>38</v>
      </c>
      <c r="D13" s="38" t="s">
        <v>88</v>
      </c>
      <c r="E13" s="38">
        <v>50.0</v>
      </c>
      <c r="F13" s="45" t="s">
        <v>89</v>
      </c>
      <c r="G13" s="38" t="s">
        <v>90</v>
      </c>
      <c r="H13" s="38">
        <v>5.0</v>
      </c>
      <c r="I13" s="38" t="s">
        <v>91</v>
      </c>
      <c r="J13" s="44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</row>
    <row r="14">
      <c r="A14" s="42" t="s">
        <v>92</v>
      </c>
      <c r="B14" s="38">
        <v>0.0</v>
      </c>
      <c r="C14" s="38" t="s">
        <v>38</v>
      </c>
      <c r="D14" s="38" t="s">
        <v>93</v>
      </c>
      <c r="E14" s="38">
        <v>2.0</v>
      </c>
      <c r="F14" s="38" t="s">
        <v>94</v>
      </c>
      <c r="G14" s="38" t="s">
        <v>95</v>
      </c>
      <c r="H14" s="38"/>
      <c r="I14" s="38" t="s">
        <v>96</v>
      </c>
      <c r="J14" s="44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</row>
    <row r="15">
      <c r="A15" s="42" t="s">
        <v>97</v>
      </c>
      <c r="B15" s="38">
        <v>0.0</v>
      </c>
      <c r="C15" s="38" t="s">
        <v>38</v>
      </c>
      <c r="D15" s="38" t="s">
        <v>98</v>
      </c>
      <c r="E15" s="38">
        <v>100.0</v>
      </c>
      <c r="F15" s="38" t="s">
        <v>69</v>
      </c>
      <c r="G15" s="44"/>
      <c r="H15" s="46"/>
      <c r="I15" s="38" t="s">
        <v>99</v>
      </c>
      <c r="J15" s="38" t="s">
        <v>100</v>
      </c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</row>
    <row r="16">
      <c r="A16" s="42" t="s">
        <v>101</v>
      </c>
      <c r="B16" s="38" t="s">
        <v>102</v>
      </c>
      <c r="C16" s="38" t="s">
        <v>103</v>
      </c>
      <c r="D16" s="38" t="s">
        <v>88</v>
      </c>
      <c r="E16" s="38">
        <v>50.0</v>
      </c>
      <c r="F16" s="38" t="s">
        <v>104</v>
      </c>
      <c r="G16" s="38" t="s">
        <v>105</v>
      </c>
      <c r="H16" s="38">
        <v>10.0</v>
      </c>
      <c r="I16" s="38" t="s">
        <v>106</v>
      </c>
      <c r="J16" s="44"/>
      <c r="K16" s="39" t="s">
        <v>107</v>
      </c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</row>
    <row r="17">
      <c r="A17" s="42" t="s">
        <v>108</v>
      </c>
      <c r="B17" s="38" t="s">
        <v>109</v>
      </c>
      <c r="C17" s="38" t="s">
        <v>110</v>
      </c>
      <c r="D17" s="38" t="s">
        <v>98</v>
      </c>
      <c r="E17" s="38">
        <v>100.0</v>
      </c>
      <c r="F17" s="38" t="s">
        <v>111</v>
      </c>
      <c r="G17" s="38" t="s">
        <v>112</v>
      </c>
      <c r="H17" s="38">
        <v>30.0</v>
      </c>
      <c r="I17" s="38" t="s">
        <v>64</v>
      </c>
      <c r="J17" s="44"/>
      <c r="K17" s="39" t="s">
        <v>113</v>
      </c>
      <c r="L17" s="39">
        <v>200.0</v>
      </c>
      <c r="M17" s="40"/>
      <c r="N17" s="39">
        <v>4.0</v>
      </c>
      <c r="O17" s="39" t="s">
        <v>114</v>
      </c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</row>
    <row r="18">
      <c r="A18" s="42" t="s">
        <v>115</v>
      </c>
      <c r="B18" s="38" t="s">
        <v>116</v>
      </c>
      <c r="C18" s="38" t="s">
        <v>117</v>
      </c>
      <c r="D18" s="38" t="s">
        <v>98</v>
      </c>
      <c r="E18" s="38">
        <v>100.0</v>
      </c>
      <c r="F18" s="38" t="s">
        <v>118</v>
      </c>
      <c r="G18" s="38" t="s">
        <v>112</v>
      </c>
      <c r="H18" s="38">
        <v>30.0</v>
      </c>
      <c r="I18" s="38" t="s">
        <v>64</v>
      </c>
      <c r="J18" s="44"/>
      <c r="K18" s="39" t="s">
        <v>119</v>
      </c>
      <c r="L18" s="39">
        <v>200.0</v>
      </c>
      <c r="M18" s="40"/>
      <c r="N18" s="39">
        <v>4.0</v>
      </c>
      <c r="O18" s="39" t="s">
        <v>114</v>
      </c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</row>
    <row r="19">
      <c r="A19" s="42" t="s">
        <v>120</v>
      </c>
      <c r="B19" s="38" t="s">
        <v>121</v>
      </c>
      <c r="C19" s="38" t="s">
        <v>117</v>
      </c>
      <c r="D19" s="38" t="s">
        <v>84</v>
      </c>
      <c r="E19" s="38">
        <v>200.0</v>
      </c>
      <c r="F19" s="38" t="s">
        <v>122</v>
      </c>
      <c r="G19" s="38" t="s">
        <v>123</v>
      </c>
      <c r="H19" s="38">
        <v>5.0</v>
      </c>
      <c r="I19" s="38" t="s">
        <v>124</v>
      </c>
      <c r="J19" s="44"/>
      <c r="K19" s="39" t="s">
        <v>125</v>
      </c>
      <c r="L19" s="39">
        <v>50.0</v>
      </c>
      <c r="M19" s="39">
        <v>150.0</v>
      </c>
      <c r="N19" s="39">
        <v>4.0</v>
      </c>
      <c r="O19" s="39" t="s">
        <v>114</v>
      </c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</row>
    <row r="20">
      <c r="A20" s="42" t="s">
        <v>126</v>
      </c>
      <c r="B20" s="38" t="s">
        <v>127</v>
      </c>
      <c r="C20" s="38" t="s">
        <v>110</v>
      </c>
      <c r="D20" s="38" t="s">
        <v>98</v>
      </c>
      <c r="E20" s="38">
        <v>100.0</v>
      </c>
      <c r="F20" s="38" t="s">
        <v>128</v>
      </c>
      <c r="G20" s="38" t="s">
        <v>129</v>
      </c>
      <c r="H20" s="38">
        <v>10.0</v>
      </c>
      <c r="I20" s="38" t="s">
        <v>64</v>
      </c>
      <c r="J20" s="44"/>
      <c r="K20" s="39" t="s">
        <v>130</v>
      </c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</row>
    <row r="21">
      <c r="A21" s="42" t="s">
        <v>131</v>
      </c>
      <c r="B21" s="38" t="s">
        <v>132</v>
      </c>
      <c r="C21" s="38" t="s">
        <v>110</v>
      </c>
      <c r="D21" s="38" t="s">
        <v>98</v>
      </c>
      <c r="E21" s="38">
        <v>100.0</v>
      </c>
      <c r="F21" s="38" t="s">
        <v>128</v>
      </c>
      <c r="G21" s="38" t="s">
        <v>133</v>
      </c>
      <c r="H21" s="38">
        <v>20.0</v>
      </c>
      <c r="I21" s="38" t="s">
        <v>79</v>
      </c>
      <c r="J21" s="38" t="s">
        <v>134</v>
      </c>
      <c r="K21" s="39" t="s">
        <v>135</v>
      </c>
      <c r="L21" s="39">
        <v>150.0</v>
      </c>
      <c r="M21" s="39">
        <v>200.0</v>
      </c>
      <c r="N21" s="39">
        <v>3.0</v>
      </c>
      <c r="O21" s="39" t="s">
        <v>66</v>
      </c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</row>
    <row r="22">
      <c r="A22" s="42" t="s">
        <v>19</v>
      </c>
      <c r="B22" s="38" t="s">
        <v>136</v>
      </c>
      <c r="C22" s="38" t="s">
        <v>110</v>
      </c>
      <c r="D22" s="38" t="s">
        <v>98</v>
      </c>
      <c r="E22" s="38">
        <v>100.0</v>
      </c>
      <c r="F22" s="38" t="s">
        <v>128</v>
      </c>
      <c r="G22" s="38" t="s">
        <v>137</v>
      </c>
      <c r="H22" s="38">
        <v>10.0</v>
      </c>
      <c r="I22" s="38" t="s">
        <v>138</v>
      </c>
      <c r="J22" s="38" t="s">
        <v>134</v>
      </c>
      <c r="K22" s="39" t="s">
        <v>139</v>
      </c>
      <c r="L22" s="39">
        <v>50.0</v>
      </c>
      <c r="M22" s="39">
        <v>100.0</v>
      </c>
      <c r="N22" s="39">
        <v>1.0</v>
      </c>
      <c r="O22" s="39" t="s">
        <v>66</v>
      </c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</row>
    <row r="23">
      <c r="A23" s="42" t="s">
        <v>140</v>
      </c>
      <c r="B23" s="38" t="s">
        <v>141</v>
      </c>
      <c r="C23" s="38" t="s">
        <v>142</v>
      </c>
      <c r="D23" s="38" t="s">
        <v>143</v>
      </c>
      <c r="E23" s="38">
        <v>250.0</v>
      </c>
      <c r="F23" s="38" t="s">
        <v>144</v>
      </c>
      <c r="G23" s="38" t="s">
        <v>145</v>
      </c>
      <c r="H23" s="38"/>
      <c r="I23" s="38" t="s">
        <v>146</v>
      </c>
      <c r="J23" s="47" t="s">
        <v>147</v>
      </c>
      <c r="K23" s="39" t="s">
        <v>148</v>
      </c>
      <c r="L23" s="39">
        <v>50.0</v>
      </c>
      <c r="M23" s="39">
        <v>200.0</v>
      </c>
      <c r="N23" s="39">
        <v>4.0</v>
      </c>
      <c r="O23" s="39" t="s">
        <v>114</v>
      </c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</row>
    <row r="24">
      <c r="A24" s="38" t="s">
        <v>149</v>
      </c>
      <c r="B24" s="38" t="s">
        <v>150</v>
      </c>
      <c r="C24" s="38" t="s">
        <v>151</v>
      </c>
      <c r="D24" s="38" t="s">
        <v>152</v>
      </c>
      <c r="E24" s="38">
        <v>75.0</v>
      </c>
      <c r="F24" s="38" t="s">
        <v>153</v>
      </c>
      <c r="G24" s="38" t="s">
        <v>152</v>
      </c>
      <c r="H24" s="38">
        <v>75.0</v>
      </c>
      <c r="I24" s="38" t="s">
        <v>154</v>
      </c>
      <c r="J24" s="44"/>
      <c r="K24" s="39" t="s">
        <v>155</v>
      </c>
      <c r="L24" s="39">
        <v>2.5</v>
      </c>
      <c r="M24" s="39">
        <v>5.0</v>
      </c>
      <c r="N24" s="39">
        <v>2.0</v>
      </c>
      <c r="O24" s="39" t="s">
        <v>54</v>
      </c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</row>
    <row r="25">
      <c r="A25" s="42" t="s">
        <v>156</v>
      </c>
      <c r="B25" s="38" t="s">
        <v>157</v>
      </c>
      <c r="C25" s="38" t="s">
        <v>151</v>
      </c>
      <c r="D25" s="38" t="s">
        <v>88</v>
      </c>
      <c r="E25" s="38">
        <v>50.0</v>
      </c>
      <c r="F25" s="38" t="s">
        <v>158</v>
      </c>
      <c r="G25" s="38" t="s">
        <v>159</v>
      </c>
      <c r="H25" s="38">
        <v>1.0</v>
      </c>
      <c r="I25" s="38" t="s">
        <v>160</v>
      </c>
      <c r="J25" s="44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</row>
    <row r="26">
      <c r="A26" s="42" t="s">
        <v>161</v>
      </c>
      <c r="B26" s="38" t="s">
        <v>162</v>
      </c>
      <c r="C26" s="38" t="s">
        <v>103</v>
      </c>
      <c r="D26" s="38" t="s">
        <v>88</v>
      </c>
      <c r="E26" s="38">
        <v>50.0</v>
      </c>
      <c r="F26" s="38" t="s">
        <v>128</v>
      </c>
      <c r="G26" s="38" t="s">
        <v>163</v>
      </c>
      <c r="H26" s="38">
        <v>4.0</v>
      </c>
      <c r="I26" s="38" t="s">
        <v>164</v>
      </c>
      <c r="J26" s="44"/>
      <c r="K26" s="39" t="s">
        <v>165</v>
      </c>
      <c r="L26" s="39">
        <v>60.0</v>
      </c>
      <c r="M26" s="40"/>
      <c r="N26" s="39">
        <v>3.0</v>
      </c>
      <c r="O26" s="39" t="s">
        <v>66</v>
      </c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</row>
    <row r="27">
      <c r="A27" s="38" t="s">
        <v>166</v>
      </c>
      <c r="B27" s="38" t="s">
        <v>167</v>
      </c>
      <c r="C27" s="38" t="s">
        <v>38</v>
      </c>
      <c r="D27" s="38" t="s">
        <v>56</v>
      </c>
      <c r="E27" s="38">
        <v>4.0</v>
      </c>
      <c r="F27" s="38" t="s">
        <v>104</v>
      </c>
      <c r="G27" s="38" t="s">
        <v>168</v>
      </c>
      <c r="H27" s="38" t="s">
        <v>38</v>
      </c>
      <c r="I27" s="38" t="s">
        <v>169</v>
      </c>
      <c r="J27" s="41" t="s">
        <v>170</v>
      </c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</row>
    <row r="28">
      <c r="A28" s="48" t="s">
        <v>171</v>
      </c>
      <c r="B28" s="38" t="s">
        <v>172</v>
      </c>
      <c r="C28" s="38" t="s">
        <v>110</v>
      </c>
      <c r="D28" s="38" t="s">
        <v>173</v>
      </c>
      <c r="E28" s="38">
        <v>500000.0</v>
      </c>
      <c r="F28" s="38" t="s">
        <v>158</v>
      </c>
      <c r="G28" s="38" t="s">
        <v>174</v>
      </c>
      <c r="H28" s="38">
        <v>50000.0</v>
      </c>
      <c r="I28" s="38" t="s">
        <v>175</v>
      </c>
      <c r="J28" s="44"/>
      <c r="K28" s="38" t="s">
        <v>176</v>
      </c>
      <c r="L28" s="39">
        <v>100000.0</v>
      </c>
      <c r="M28" s="39">
        <v>300000.0</v>
      </c>
      <c r="N28" s="39">
        <v>4.0</v>
      </c>
      <c r="O28" s="39" t="s">
        <v>114</v>
      </c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</row>
    <row r="29">
      <c r="A29" s="42" t="s">
        <v>177</v>
      </c>
      <c r="B29" s="38" t="s">
        <v>178</v>
      </c>
      <c r="C29" s="38" t="s">
        <v>38</v>
      </c>
      <c r="D29" s="38" t="s">
        <v>179</v>
      </c>
      <c r="E29" s="49">
        <v>180.0</v>
      </c>
      <c r="F29" s="38" t="s">
        <v>158</v>
      </c>
      <c r="G29" s="38" t="s">
        <v>180</v>
      </c>
      <c r="H29" s="38">
        <v>20.0</v>
      </c>
      <c r="I29" s="38" t="s">
        <v>164</v>
      </c>
      <c r="J29" s="44"/>
      <c r="K29" s="39" t="s">
        <v>181</v>
      </c>
      <c r="L29" s="38">
        <v>400.0</v>
      </c>
      <c r="M29" s="40"/>
      <c r="N29" s="39">
        <v>4.0</v>
      </c>
      <c r="O29" s="39" t="s">
        <v>114</v>
      </c>
      <c r="P29" s="40"/>
      <c r="Q29" s="40"/>
      <c r="R29" s="40"/>
      <c r="S29" s="38" t="s">
        <v>182</v>
      </c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</row>
    <row r="30">
      <c r="A30" s="42" t="s">
        <v>183</v>
      </c>
      <c r="B30" s="50" t="s">
        <v>167</v>
      </c>
      <c r="C30" s="38" t="s">
        <v>38</v>
      </c>
      <c r="D30" s="38" t="s">
        <v>88</v>
      </c>
      <c r="E30" s="38">
        <v>50.0</v>
      </c>
      <c r="F30" s="38" t="s">
        <v>158</v>
      </c>
      <c r="G30" s="38" t="s">
        <v>59</v>
      </c>
      <c r="H30" s="38">
        <v>5.0</v>
      </c>
      <c r="I30" s="38" t="s">
        <v>184</v>
      </c>
      <c r="J30" s="44"/>
      <c r="K30" s="39" t="s">
        <v>185</v>
      </c>
      <c r="L30" s="39">
        <v>60.0</v>
      </c>
      <c r="M30" s="39">
        <v>80.0</v>
      </c>
      <c r="N30" s="39">
        <v>4.0</v>
      </c>
      <c r="O30" s="39" t="s">
        <v>114</v>
      </c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</row>
    <row r="31">
      <c r="A31" s="39" t="s">
        <v>186</v>
      </c>
      <c r="B31" s="38" t="s">
        <v>187</v>
      </c>
      <c r="C31" s="39" t="s">
        <v>38</v>
      </c>
      <c r="D31" s="39" t="s">
        <v>188</v>
      </c>
      <c r="E31" s="39">
        <v>25.0</v>
      </c>
      <c r="F31" s="39" t="s">
        <v>104</v>
      </c>
      <c r="G31" s="39" t="s">
        <v>189</v>
      </c>
      <c r="H31" s="39">
        <v>4.0</v>
      </c>
      <c r="I31" s="51" t="s">
        <v>190</v>
      </c>
      <c r="J31" s="51" t="s">
        <v>191</v>
      </c>
      <c r="K31" s="39" t="s">
        <v>192</v>
      </c>
      <c r="L31" s="39">
        <v>60.0</v>
      </c>
      <c r="M31" s="40"/>
      <c r="N31" s="39">
        <v>3.0</v>
      </c>
      <c r="O31" s="39" t="s">
        <v>66</v>
      </c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</row>
    <row r="32">
      <c r="A32" s="39" t="s">
        <v>193</v>
      </c>
      <c r="B32" s="39">
        <v>0.0</v>
      </c>
      <c r="C32" s="39" t="s">
        <v>38</v>
      </c>
      <c r="D32" s="39" t="s">
        <v>194</v>
      </c>
      <c r="E32" s="39">
        <v>250.0</v>
      </c>
      <c r="F32" s="39" t="s">
        <v>77</v>
      </c>
      <c r="G32" s="39" t="s">
        <v>195</v>
      </c>
      <c r="H32" s="39">
        <v>2.5</v>
      </c>
      <c r="I32" s="39" t="s">
        <v>64</v>
      </c>
      <c r="J32" s="40"/>
      <c r="K32" s="39" t="s">
        <v>196</v>
      </c>
      <c r="L32" s="39">
        <v>15.0</v>
      </c>
      <c r="M32" s="39">
        <v>20.0</v>
      </c>
      <c r="N32" s="39">
        <v>1.0</v>
      </c>
      <c r="O32" s="39" t="s">
        <v>197</v>
      </c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</row>
    <row r="33">
      <c r="A33" s="42" t="s">
        <v>10</v>
      </c>
      <c r="B33" s="39">
        <v>0.0</v>
      </c>
      <c r="C33" s="39" t="s">
        <v>38</v>
      </c>
      <c r="D33" s="39" t="s">
        <v>198</v>
      </c>
      <c r="E33" s="39">
        <v>150.0</v>
      </c>
      <c r="F33" s="39" t="s">
        <v>45</v>
      </c>
      <c r="G33" s="38" t="s">
        <v>199</v>
      </c>
      <c r="H33" s="39">
        <v>6.0</v>
      </c>
      <c r="I33" s="38" t="s">
        <v>200</v>
      </c>
      <c r="J33" s="40"/>
      <c r="K33" s="39" t="s">
        <v>201</v>
      </c>
      <c r="L33" s="39">
        <v>20.0</v>
      </c>
      <c r="M33" s="39">
        <v>40.0</v>
      </c>
      <c r="N33" s="39">
        <v>3.0</v>
      </c>
      <c r="O33" s="39" t="s">
        <v>66</v>
      </c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</row>
    <row r="34">
      <c r="A34" s="52" t="s">
        <v>202</v>
      </c>
      <c r="B34" s="39">
        <v>0.0</v>
      </c>
      <c r="C34" s="39" t="s">
        <v>38</v>
      </c>
      <c r="D34" s="39" t="s">
        <v>88</v>
      </c>
      <c r="E34" s="39">
        <v>50.0</v>
      </c>
      <c r="F34" s="39" t="s">
        <v>118</v>
      </c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</row>
    <row r="35">
      <c r="A35" s="52" t="s">
        <v>203</v>
      </c>
      <c r="B35" s="39">
        <v>0.0</v>
      </c>
      <c r="C35" s="39" t="s">
        <v>38</v>
      </c>
      <c r="D35" s="42" t="s">
        <v>204</v>
      </c>
      <c r="E35" s="42">
        <v>0.25</v>
      </c>
      <c r="F35" s="39" t="s">
        <v>77</v>
      </c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</row>
    <row r="36">
      <c r="A36" s="52" t="s">
        <v>205</v>
      </c>
      <c r="B36" s="39">
        <v>0.0</v>
      </c>
      <c r="C36" s="39" t="s">
        <v>38</v>
      </c>
      <c r="D36" s="42" t="s">
        <v>206</v>
      </c>
      <c r="E36" s="42">
        <v>1.0</v>
      </c>
      <c r="F36" s="39" t="s">
        <v>77</v>
      </c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</row>
    <row r="37">
      <c r="A37" s="52" t="s">
        <v>207</v>
      </c>
      <c r="B37" s="39">
        <v>0.0</v>
      </c>
      <c r="C37" s="39" t="s">
        <v>38</v>
      </c>
      <c r="D37" s="42" t="s">
        <v>208</v>
      </c>
      <c r="E37" s="42">
        <v>500.0</v>
      </c>
      <c r="F37" s="39" t="s">
        <v>77</v>
      </c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</row>
    <row r="38">
      <c r="A38" s="53"/>
      <c r="B38" s="40"/>
      <c r="C38" s="40"/>
      <c r="D38" s="42"/>
      <c r="E38" s="42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</row>
    <row r="39">
      <c r="A39" s="53"/>
      <c r="B39" s="40"/>
      <c r="C39" s="40"/>
      <c r="D39" s="42"/>
      <c r="E39" s="42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</row>
    <row r="40">
      <c r="A40" s="53"/>
      <c r="B40" s="40"/>
      <c r="C40" s="40"/>
      <c r="D40" s="42"/>
      <c r="E40" s="42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</row>
    <row r="41">
      <c r="A41" s="53"/>
      <c r="B41" s="40"/>
      <c r="C41" s="40"/>
      <c r="D41" s="42"/>
      <c r="E41" s="42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</row>
    <row r="42">
      <c r="A42" s="53"/>
      <c r="B42" s="40"/>
      <c r="C42" s="40"/>
      <c r="D42" s="42"/>
      <c r="E42" s="42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</row>
    <row r="43">
      <c r="A43" s="53"/>
      <c r="B43" s="40"/>
      <c r="C43" s="40"/>
      <c r="D43" s="42"/>
      <c r="E43" s="42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</row>
    <row r="44">
      <c r="A44" s="53"/>
      <c r="B44" s="40"/>
      <c r="C44" s="40"/>
      <c r="D44" s="42"/>
      <c r="E44" s="42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</row>
    <row r="45">
      <c r="A45" s="53"/>
      <c r="B45" s="40"/>
      <c r="C45" s="40"/>
      <c r="D45" s="42"/>
      <c r="E45" s="42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</row>
    <row r="46">
      <c r="A46" s="53"/>
      <c r="B46" s="40"/>
      <c r="C46" s="40"/>
      <c r="D46" s="42"/>
      <c r="E46" s="42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</row>
    <row r="47">
      <c r="A47" s="53"/>
      <c r="B47" s="40"/>
      <c r="C47" s="40"/>
      <c r="D47" s="42"/>
      <c r="E47" s="42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</row>
    <row r="48">
      <c r="A48" s="53"/>
      <c r="B48" s="40"/>
      <c r="C48" s="40"/>
      <c r="D48" s="42"/>
      <c r="E48" s="42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</row>
    <row r="49">
      <c r="A49" s="53"/>
      <c r="B49" s="40"/>
      <c r="C49" s="40"/>
      <c r="D49" s="42"/>
      <c r="E49" s="42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</row>
    <row r="50">
      <c r="A50" s="53"/>
      <c r="B50" s="40"/>
      <c r="C50" s="40"/>
      <c r="D50" s="42"/>
      <c r="E50" s="42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</row>
    <row r="51">
      <c r="A51" s="40"/>
      <c r="B51" s="40"/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</row>
    <row r="52">
      <c r="A52" s="40"/>
      <c r="B52" s="40"/>
      <c r="C52" s="40"/>
      <c r="D52" s="40"/>
      <c r="E52" s="40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</row>
    <row r="53">
      <c r="A53" s="40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</row>
    <row r="54">
      <c r="A54" s="40"/>
      <c r="B54" s="40"/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</row>
    <row r="55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</row>
    <row r="56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</row>
    <row r="57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</row>
    <row r="58">
      <c r="A58" s="40"/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</row>
    <row r="59">
      <c r="A59" s="40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</row>
    <row r="60">
      <c r="A60" s="40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</row>
    <row r="61">
      <c r="A61" s="40"/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</row>
    <row r="62">
      <c r="A62" s="40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</row>
    <row r="63">
      <c r="A63" s="40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</row>
    <row r="64">
      <c r="A64" s="40"/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</row>
    <row r="65">
      <c r="A65" s="40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</row>
    <row r="66">
      <c r="A66" s="40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</row>
    <row r="67">
      <c r="A67" s="40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</row>
    <row r="68">
      <c r="A68" s="40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</row>
    <row r="69">
      <c r="A69" s="40"/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</row>
    <row r="70">
      <c r="A70" s="40"/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</row>
    <row r="71">
      <c r="A71" s="40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</row>
    <row r="72">
      <c r="A72" s="40"/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</row>
    <row r="73">
      <c r="A73" s="40"/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</row>
    <row r="74">
      <c r="A74" s="40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</row>
    <row r="75">
      <c r="A75" s="40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</row>
    <row r="76">
      <c r="A76" s="40"/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</row>
    <row r="77">
      <c r="A77" s="40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</row>
    <row r="78">
      <c r="A78" s="40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</row>
    <row r="79">
      <c r="A79" s="40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</row>
    <row r="80">
      <c r="A80" s="40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</row>
    <row r="81">
      <c r="A81" s="40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</row>
    <row r="82">
      <c r="A82" s="40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</row>
    <row r="83">
      <c r="A83" s="40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</row>
    <row r="84">
      <c r="A84" s="40"/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</row>
    <row r="85">
      <c r="A85" s="40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</row>
    <row r="86">
      <c r="A86" s="40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</row>
    <row r="87">
      <c r="A87" s="40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</row>
    <row r="88">
      <c r="A88" s="40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</row>
    <row r="89">
      <c r="A89" s="40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</row>
    <row r="90">
      <c r="A90" s="40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</row>
    <row r="91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</row>
    <row r="92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</row>
    <row r="93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</row>
    <row r="94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</row>
    <row r="95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</row>
    <row r="96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</row>
    <row r="97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</row>
    <row r="98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</row>
    <row r="99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</row>
    <row r="100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</row>
    <row r="10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</row>
    <row r="102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</row>
    <row r="103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</row>
    <row r="104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</row>
    <row r="105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</row>
    <row r="106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</row>
    <row r="107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</row>
    <row r="108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</row>
    <row r="109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</row>
    <row r="110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</row>
    <row r="111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</row>
    <row r="112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</row>
    <row r="113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</row>
    <row r="114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</row>
    <row r="115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</row>
    <row r="116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</row>
    <row r="117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</row>
    <row r="118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</row>
    <row r="119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</row>
    <row r="120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</row>
    <row r="121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</row>
    <row r="122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</row>
    <row r="123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</row>
    <row r="124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</row>
    <row r="125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</row>
    <row r="126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</row>
    <row r="127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</row>
    <row r="128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</row>
    <row r="129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</row>
    <row r="130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</row>
    <row r="131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</row>
    <row r="132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</row>
    <row r="133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</row>
    <row r="134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</row>
    <row r="135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</row>
    <row r="136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</row>
    <row r="137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</row>
    <row r="138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</row>
    <row r="139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</row>
    <row r="140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</row>
    <row r="141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</row>
    <row r="142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</row>
    <row r="143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</row>
    <row r="144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</row>
    <row r="145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</row>
    <row r="146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</row>
    <row r="147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</row>
    <row r="148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</row>
    <row r="149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</row>
    <row r="150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</row>
    <row r="15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</row>
    <row r="152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</row>
    <row r="153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</row>
    <row r="154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</row>
    <row r="155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</row>
    <row r="156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</row>
    <row r="157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</row>
    <row r="158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</row>
    <row r="159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</row>
    <row r="160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</row>
    <row r="161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</row>
    <row r="162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</row>
    <row r="163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</row>
    <row r="164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</row>
    <row r="165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</row>
    <row r="166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</row>
    <row r="167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</row>
    <row r="168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</row>
    <row r="169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</row>
    <row r="170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</row>
    <row r="171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</row>
    <row r="172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</row>
    <row r="173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</row>
    <row r="174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</row>
    <row r="175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</row>
    <row r="176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</row>
    <row r="177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</row>
    <row r="178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</row>
    <row r="179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</row>
    <row r="180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</row>
    <row r="181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</row>
    <row r="182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</row>
    <row r="183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</row>
    <row r="184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</row>
    <row r="185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</row>
    <row r="186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</row>
    <row r="187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</row>
    <row r="188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</row>
    <row r="189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</row>
    <row r="190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</row>
    <row r="191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</row>
    <row r="192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</row>
    <row r="193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</row>
    <row r="194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</row>
    <row r="195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</row>
    <row r="196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</row>
    <row r="197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</row>
    <row r="198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</row>
    <row r="199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</row>
    <row r="200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</row>
    <row r="201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</row>
    <row r="202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</row>
    <row r="203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</row>
    <row r="204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</row>
    <row r="205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</row>
    <row r="206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</row>
    <row r="207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</row>
    <row r="208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</row>
    <row r="209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</row>
    <row r="210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</row>
    <row r="211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</row>
    <row r="212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</row>
    <row r="213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</row>
    <row r="214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</row>
    <row r="215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</row>
    <row r="216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</row>
    <row r="217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</row>
    <row r="218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</row>
    <row r="219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</row>
    <row r="220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</row>
    <row r="760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</row>
    <row r="761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</row>
    <row r="762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</row>
    <row r="763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</row>
    <row r="764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</row>
    <row r="765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</row>
    <row r="766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</row>
    <row r="767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</row>
    <row r="768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</row>
    <row r="769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</row>
    <row r="770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</row>
    <row r="771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</row>
    <row r="772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</row>
    <row r="773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</row>
    <row r="774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</row>
    <row r="775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</row>
    <row r="776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</row>
    <row r="777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</row>
    <row r="778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</row>
    <row r="779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</row>
    <row r="780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</row>
    <row r="781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</row>
    <row r="782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</row>
    <row r="783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</row>
    <row r="784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</row>
    <row r="785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</row>
    <row r="786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</row>
    <row r="787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</row>
    <row r="788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</row>
    <row r="789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</row>
    <row r="790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</row>
    <row r="791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</row>
    <row r="792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</row>
    <row r="793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</row>
    <row r="794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</row>
    <row r="795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</row>
    <row r="796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</row>
    <row r="797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</row>
    <row r="798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</row>
    <row r="799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</row>
    <row r="800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</row>
    <row r="801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</row>
    <row r="802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</row>
    <row r="803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</row>
    <row r="804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</row>
    <row r="805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</row>
    <row r="806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</row>
    <row r="807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</row>
    <row r="808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</row>
    <row r="809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</row>
    <row r="810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</row>
    <row r="811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</row>
    <row r="812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</row>
    <row r="813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</row>
    <row r="814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</row>
    <row r="815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</row>
    <row r="816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</row>
    <row r="817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</row>
    <row r="818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</row>
    <row r="819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</row>
    <row r="820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</row>
    <row r="821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</row>
    <row r="822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</row>
    <row r="823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</row>
    <row r="824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</row>
    <row r="825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</row>
    <row r="826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</row>
    <row r="827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</row>
    <row r="828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</row>
    <row r="829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</row>
    <row r="830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</row>
    <row r="831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</row>
    <row r="832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</row>
    <row r="833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</row>
    <row r="834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</row>
    <row r="835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</row>
    <row r="836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</row>
    <row r="837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</row>
    <row r="838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</row>
    <row r="839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</row>
    <row r="840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</row>
    <row r="841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</row>
    <row r="842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</row>
    <row r="843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</row>
    <row r="844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</row>
    <row r="845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</row>
    <row r="846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</row>
    <row r="847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</row>
    <row r="848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</row>
    <row r="849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</row>
    <row r="850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</row>
    <row r="851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</row>
    <row r="852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</row>
    <row r="853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</row>
    <row r="854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</row>
    <row r="855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</row>
    <row r="856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</row>
    <row r="857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</row>
    <row r="858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</row>
    <row r="859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</row>
    <row r="860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</row>
    <row r="861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</row>
    <row r="862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</row>
    <row r="863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</row>
    <row r="864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</row>
    <row r="865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</row>
    <row r="866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</row>
    <row r="867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</row>
    <row r="868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</row>
    <row r="869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</row>
    <row r="870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</row>
    <row r="871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</row>
    <row r="872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</row>
    <row r="873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</row>
    <row r="874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</row>
    <row r="875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</row>
    <row r="876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</row>
    <row r="877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</row>
    <row r="878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</row>
    <row r="879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</row>
    <row r="880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</row>
    <row r="881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</row>
    <row r="882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</row>
    <row r="883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</row>
    <row r="884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</row>
    <row r="885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</row>
    <row r="886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</row>
    <row r="887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</row>
    <row r="888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</row>
    <row r="889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</row>
    <row r="890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</row>
    <row r="891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</row>
    <row r="892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</row>
    <row r="893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</row>
    <row r="894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</row>
    <row r="895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</row>
    <row r="896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</row>
    <row r="897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</row>
    <row r="898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</row>
    <row r="899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</row>
    <row r="900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</row>
    <row r="901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</row>
    <row r="902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</row>
    <row r="903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</row>
    <row r="904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</row>
    <row r="905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</row>
    <row r="906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</row>
    <row r="907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</row>
    <row r="908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</row>
    <row r="909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</row>
    <row r="910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</row>
    <row r="911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</row>
    <row r="912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</row>
    <row r="913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</row>
    <row r="914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</row>
    <row r="915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</row>
    <row r="916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</row>
    <row r="917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</row>
    <row r="918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</row>
    <row r="919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</row>
    <row r="920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</row>
    <row r="921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</row>
    <row r="922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</row>
    <row r="923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</row>
    <row r="924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</row>
    <row r="925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</row>
    <row r="926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</row>
    <row r="927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</row>
    <row r="928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</row>
    <row r="929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</row>
    <row r="930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</row>
    <row r="931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</row>
    <row r="932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</row>
    <row r="933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</row>
    <row r="934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</row>
    <row r="935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</row>
    <row r="936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</row>
    <row r="937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</row>
    <row r="938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</row>
    <row r="939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</row>
    <row r="940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</row>
    <row r="941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</row>
    <row r="942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</row>
    <row r="943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</row>
    <row r="944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</row>
    <row r="945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</row>
    <row r="946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</row>
    <row r="947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</row>
    <row r="948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</row>
    <row r="949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</row>
    <row r="950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</row>
    <row r="951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</row>
    <row r="952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</row>
    <row r="953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</row>
    <row r="954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</row>
    <row r="955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</row>
    <row r="956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</row>
    <row r="957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</row>
    <row r="958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</row>
    <row r="959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</row>
    <row r="960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</row>
    <row r="961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</row>
    <row r="962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</row>
    <row r="963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</row>
    <row r="964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</row>
    <row r="965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</row>
    <row r="966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</row>
    <row r="967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</row>
    <row r="968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</row>
    <row r="969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</row>
    <row r="970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</row>
    <row r="971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</row>
    <row r="972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</row>
    <row r="973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</row>
    <row r="974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</row>
    <row r="975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</row>
    <row r="976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</row>
    <row r="977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</row>
    <row r="978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</row>
    <row r="979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</row>
    <row r="980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</row>
    <row r="981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</row>
    <row r="982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</row>
    <row r="983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</row>
    <row r="984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</row>
    <row r="985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</row>
    <row r="986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</row>
    <row r="987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</row>
    <row r="988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</row>
    <row r="989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</row>
    <row r="990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</row>
    <row r="991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</row>
    <row r="992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</row>
    <row r="993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</row>
    <row r="994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</row>
    <row r="995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</row>
    <row r="996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</row>
  </sheetData>
  <printOptions gridLines="1" horizontalCentered="1"/>
  <pageMargins bottom="1.0" footer="0.0" header="0.0" left="1.0" right="1.0" top="1.0"/>
  <pageSetup fitToHeight="0" paperSize="12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38.75"/>
    <col customWidth="1" min="2" max="2" width="9.63"/>
    <col customWidth="1" min="3" max="3" width="37.0"/>
    <col customWidth="1" min="4" max="4" width="34.63"/>
    <col customWidth="1" min="5" max="5" width="12.5"/>
    <col customWidth="1" min="6" max="6" width="30.63"/>
    <col customWidth="1" min="7" max="7" width="13.75"/>
    <col customWidth="1" min="8" max="8" width="11.63"/>
    <col customWidth="1" min="9" max="9" width="31.63"/>
  </cols>
  <sheetData>
    <row r="1">
      <c r="A1" s="54" t="s">
        <v>20</v>
      </c>
      <c r="B1" s="42" t="s">
        <v>209</v>
      </c>
      <c r="C1" s="39" t="s">
        <v>210</v>
      </c>
      <c r="D1" s="39" t="s">
        <v>211</v>
      </c>
      <c r="E1" s="39" t="s">
        <v>212</v>
      </c>
      <c r="F1" s="39" t="s">
        <v>213</v>
      </c>
      <c r="G1" s="39" t="s">
        <v>214</v>
      </c>
      <c r="H1" s="39" t="s">
        <v>215</v>
      </c>
      <c r="I1" s="21" t="s">
        <v>216</v>
      </c>
      <c r="J1" s="21" t="s">
        <v>36</v>
      </c>
    </row>
    <row r="2">
      <c r="A2" s="42" t="s">
        <v>217</v>
      </c>
      <c r="B2" s="42">
        <v>25.0</v>
      </c>
      <c r="C2" s="55" t="s">
        <v>218</v>
      </c>
      <c r="D2" s="55" t="s">
        <v>219</v>
      </c>
      <c r="E2" s="55"/>
      <c r="F2" s="55" t="s">
        <v>220</v>
      </c>
      <c r="G2" s="21" t="s">
        <v>221</v>
      </c>
      <c r="I2" s="21" t="s">
        <v>222</v>
      </c>
    </row>
    <row r="3">
      <c r="A3" s="53" t="s">
        <v>223</v>
      </c>
      <c r="B3" s="42" t="s">
        <v>224</v>
      </c>
      <c r="C3" s="55" t="s">
        <v>225</v>
      </c>
      <c r="D3" s="55" t="s">
        <v>226</v>
      </c>
      <c r="E3" s="55"/>
      <c r="F3" s="55" t="s">
        <v>227</v>
      </c>
      <c r="G3" s="21" t="s">
        <v>226</v>
      </c>
      <c r="I3" s="21" t="s">
        <v>228</v>
      </c>
    </row>
    <row r="4">
      <c r="A4" s="53" t="s">
        <v>229</v>
      </c>
      <c r="B4" s="42">
        <v>12.5</v>
      </c>
      <c r="C4" s="21" t="s">
        <v>230</v>
      </c>
      <c r="F4" s="21" t="s">
        <v>231</v>
      </c>
      <c r="I4" s="21" t="s">
        <v>230</v>
      </c>
    </row>
    <row r="5">
      <c r="A5" s="53" t="s">
        <v>232</v>
      </c>
      <c r="B5" s="42">
        <v>48.0</v>
      </c>
      <c r="C5" s="21" t="s">
        <v>233</v>
      </c>
      <c r="I5" s="21" t="s">
        <v>234</v>
      </c>
    </row>
    <row r="6">
      <c r="A6" s="53" t="s">
        <v>235</v>
      </c>
      <c r="B6" s="42">
        <v>25.0</v>
      </c>
      <c r="C6" s="21" t="s">
        <v>236</v>
      </c>
      <c r="D6" s="21" t="s">
        <v>237</v>
      </c>
      <c r="I6" s="21" t="s">
        <v>238</v>
      </c>
    </row>
    <row r="7">
      <c r="A7" s="53" t="s">
        <v>239</v>
      </c>
      <c r="B7" s="42">
        <v>20.0</v>
      </c>
      <c r="C7" s="21" t="s">
        <v>240</v>
      </c>
    </row>
    <row r="8">
      <c r="A8" s="53" t="s">
        <v>241</v>
      </c>
      <c r="B8" s="42">
        <v>25.0</v>
      </c>
      <c r="C8" s="21" t="s">
        <v>242</v>
      </c>
      <c r="I8" s="21" t="s">
        <v>243</v>
      </c>
    </row>
    <row r="9">
      <c r="A9" s="21" t="s">
        <v>244</v>
      </c>
      <c r="C9" s="21" t="s">
        <v>245</v>
      </c>
      <c r="I9" s="21" t="s">
        <v>246</v>
      </c>
    </row>
    <row r="10">
      <c r="A10" s="21" t="s">
        <v>247</v>
      </c>
      <c r="B10" s="21">
        <v>100.0</v>
      </c>
    </row>
    <row r="13">
      <c r="A13" s="53" t="s">
        <v>248</v>
      </c>
      <c r="B13" s="42">
        <v>24.0</v>
      </c>
      <c r="F13" s="21" t="s">
        <v>249</v>
      </c>
      <c r="H13" s="21" t="s">
        <v>250</v>
      </c>
      <c r="I13" s="21" t="s">
        <v>251</v>
      </c>
    </row>
    <row r="14">
      <c r="A14" s="53" t="s">
        <v>252</v>
      </c>
      <c r="B14" s="42">
        <v>0.4</v>
      </c>
      <c r="E14" s="21" t="s">
        <v>250</v>
      </c>
      <c r="I14" s="21" t="s">
        <v>253</v>
      </c>
    </row>
    <row r="15">
      <c r="A15" s="53" t="s">
        <v>254</v>
      </c>
      <c r="B15" s="42">
        <v>1.0</v>
      </c>
    </row>
    <row r="16">
      <c r="A16" s="53" t="s">
        <v>255</v>
      </c>
      <c r="B16" s="42">
        <v>20.0</v>
      </c>
      <c r="I16" s="21" t="s">
        <v>256</v>
      </c>
    </row>
    <row r="17">
      <c r="A17" s="53" t="s">
        <v>257</v>
      </c>
    </row>
    <row r="18">
      <c r="A18" s="53" t="s">
        <v>258</v>
      </c>
    </row>
    <row r="19">
      <c r="A19" s="53" t="s">
        <v>259</v>
      </c>
    </row>
    <row r="20">
      <c r="A20" s="53" t="s">
        <v>260</v>
      </c>
      <c r="B20" s="42">
        <v>0.3</v>
      </c>
    </row>
    <row r="21">
      <c r="A21" s="53" t="s">
        <v>261</v>
      </c>
      <c r="B21" s="42">
        <v>1.0</v>
      </c>
      <c r="I21" s="21" t="s">
        <v>262</v>
      </c>
    </row>
    <row r="22">
      <c r="A22" s="21" t="s">
        <v>263</v>
      </c>
    </row>
  </sheetData>
  <drawing r:id="rId1"/>
</worksheet>
</file>