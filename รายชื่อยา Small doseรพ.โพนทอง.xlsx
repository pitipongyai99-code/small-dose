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คำนวณยา IV และสารน้ำ" sheetId="1" state="visible" r:id="rId1"/>
    <sheet name="ข้อมูลยา" sheetId="2" state="visible" r:id="rId2"/>
    <sheet name="ข้อมูลยา ห้ามแก้ไข" sheetId="3" state="visible" r:id="rId3"/>
    <sheet name="ข้อมูลยาน้ำ ห้ามแก้ไ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TH SarabunPSK"/>
      <b val="1"/>
      <color theme="1"/>
      <sz val="28"/>
    </font>
    <font>
      <name val="TH SarabunPSK"/>
      <b val="1"/>
      <color theme="1"/>
      <sz val="16"/>
    </font>
    <font>
      <name val="Arial"/>
      <color theme="1"/>
      <scheme val="minor"/>
    </font>
    <font>
      <name val="TH SarabunPSK"/>
      <b val="1"/>
      <color theme="1"/>
      <sz val="22"/>
    </font>
    <font>
      <name val="TH SarabunPSK"/>
      <b val="1"/>
      <color theme="1"/>
      <sz val="18"/>
    </font>
    <font>
      <name val="TH SarabunPSK"/>
      <color theme="1"/>
      <sz val="18"/>
    </font>
    <font>
      <name val="Arial"/>
      <color theme="1"/>
      <sz val="20"/>
      <scheme val="minor"/>
    </font>
    <font>
      <name val="TH SarabunPSK"/>
      <color theme="1"/>
      <sz val="15"/>
    </font>
    <font>
      <name val="TH SarabunPSK"/>
      <color theme="1"/>
      <sz val="16"/>
    </font>
    <font>
      <name val="TH SarabunPSK"/>
      <b val="1"/>
      <color rgb="FFFF0000"/>
      <sz val="18"/>
    </font>
    <font>
      <name val="TH SarabunPSK"/>
      <color theme="1"/>
      <sz val="17"/>
    </font>
    <font>
      <name val="TH SarabunPSK"/>
      <b val="1"/>
      <color theme="1"/>
      <sz val="15"/>
    </font>
    <font>
      <name val="TH SarabunPSK"/>
      <color theme="1"/>
      <sz val="14"/>
    </font>
    <font>
      <name val="TH SarabunPSK"/>
      <color rgb="FF000000"/>
      <sz val="14"/>
    </font>
    <font>
      <name val="TH SarabunPSK"/>
      <color rgb="FFFF0000"/>
      <sz val="14"/>
    </font>
    <font>
      <name val="TH SarabunPSK"/>
      <color rgb="FF202227"/>
      <sz val="14"/>
    </font>
    <font>
      <name val="WordVisi_MSFontService"/>
      <b val="1"/>
      <color rgb="FF000000"/>
    </font>
    <font>
      <name val="TH SarabunPSK"/>
      <b val="1"/>
      <color rgb="FF000000"/>
      <sz val="18"/>
    </font>
  </fonts>
  <fills count="9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" fontId="2" fillId="3" borderId="0" applyAlignment="1" pivotButton="0" quotePrefix="0" xfId="0">
      <alignment horizontal="center" vertical="center" wrapText="1"/>
    </xf>
    <xf numFmtId="2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 wrapText="1"/>
    </xf>
    <xf numFmtId="4" fontId="2" fillId="4" borderId="0" applyAlignment="1" pivotButton="0" quotePrefix="0" xfId="0">
      <alignment horizontal="center" vertical="center" wrapText="1"/>
    </xf>
    <xf numFmtId="2" fontId="2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horizontal="center" vertical="center" wrapText="1"/>
    </xf>
    <xf numFmtId="2" fontId="4" fillId="7" borderId="0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4" fillId="7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pivotButton="0" quotePrefix="0" xfId="0"/>
    <xf numFmtId="0" fontId="5" fillId="4" borderId="0" applyAlignment="1" pivotButton="0" quotePrefix="0" xfId="0">
      <alignment horizontal="center" wrapText="1"/>
    </xf>
    <xf numFmtId="0" fontId="6" fillId="4" borderId="0" applyAlignment="1" pivotButton="0" quotePrefix="0" xfId="0">
      <alignment horizontal="center" wrapText="1"/>
    </xf>
    <xf numFmtId="0" fontId="6" fillId="4" borderId="0" applyAlignment="1" pivotButton="0" quotePrefix="0" xfId="0">
      <alignment wrapText="1"/>
    </xf>
    <xf numFmtId="0" fontId="7" fillId="0" borderId="0" pivotButton="0" quotePrefix="0" xfId="0"/>
    <xf numFmtId="0" fontId="2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8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wrapText="1"/>
    </xf>
    <xf numFmtId="0" fontId="13" fillId="0" borderId="0" pivotButton="0" quotePrefix="0" xfId="0"/>
    <xf numFmtId="0" fontId="13" fillId="0" borderId="0" pivotButton="0" quotePrefix="0" xfId="0"/>
    <xf numFmtId="0" fontId="14" fillId="8" borderId="0" applyAlignment="1" pivotButton="0" quotePrefix="0" xfId="0">
      <alignment horizontal="left" wrapText="1"/>
    </xf>
    <xf numFmtId="0" fontId="14" fillId="0" borderId="0" applyAlignment="1" pivotButton="0" quotePrefix="0" xfId="0">
      <alignment wrapText="1"/>
    </xf>
    <xf numFmtId="0" fontId="14" fillId="8" borderId="0" applyAlignment="1" pivotButton="0" quotePrefix="0" xfId="0">
      <alignment horizontal="right" wrapText="1"/>
    </xf>
    <xf numFmtId="0" fontId="13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5" fillId="8" borderId="0" applyAlignment="1" pivotButton="0" quotePrefix="0" xfId="0">
      <alignment horizontal="left" wrapText="1"/>
    </xf>
    <xf numFmtId="0" fontId="14" fillId="0" borderId="0" applyAlignment="1" pivotButton="0" quotePrefix="0" xfId="0">
      <alignment horizontal="left" wrapText="1"/>
    </xf>
    <xf numFmtId="0" fontId="16" fillId="8" borderId="0" applyAlignment="1" pivotButton="0" quotePrefix="0" xfId="0">
      <alignment horizontal="right"/>
    </xf>
    <xf numFmtId="0" fontId="13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left" wrapText="1"/>
    </xf>
    <xf numFmtId="0" fontId="14" fillId="0" borderId="1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994"/>
  <sheetViews>
    <sheetView workbookViewId="0">
      <selection activeCell="A1" sqref="A1"/>
    </sheetView>
  </sheetViews>
  <sheetFormatPr baseColWidth="8" defaultColWidth="12.63" defaultRowHeight="15.75" customHeight="1"/>
  <cols>
    <col width="29.5" customWidth="1" style="56" min="1" max="1"/>
    <col width="30" customWidth="1" style="56" min="2" max="2"/>
    <col width="23.63" customWidth="1" style="56" min="3" max="3"/>
    <col width="27.13" customWidth="1" style="56" min="4" max="4"/>
    <col width="20.63" customWidth="1" style="56" min="5" max="5"/>
    <col width="41.63" customWidth="1" style="56" min="6" max="6"/>
    <col width="21" customWidth="1" style="56" min="7" max="7"/>
    <col width="28.88" customWidth="1" style="56" min="8" max="8"/>
    <col width="39.5" customWidth="1" style="56" min="9" max="9"/>
    <col width="34" customWidth="1" style="56" min="10" max="10"/>
  </cols>
  <sheetData>
    <row r="1" ht="46.5" customHeight="1" s="56">
      <c r="A1" s="1" t="inlineStr">
        <is>
          <t>คำนวณขนาดยา</t>
        </is>
      </c>
      <c r="B1" s="2" t="inlineStr">
        <is>
          <t>ยาที่ใช้</t>
        </is>
      </c>
      <c r="C1" s="2" t="inlineStr">
        <is>
          <t>ขนาดยาที่แพทย์สั่ง (mg)</t>
        </is>
      </c>
      <c r="D1" s="2" t="inlineStr">
        <is>
          <t>น้ำหนัก 
(kg)</t>
        </is>
      </c>
      <c r="E1" s="2" t="inlineStr">
        <is>
          <t>อายุ (ปี)</t>
        </is>
      </c>
      <c r="F1" s="2" t="inlineStr">
        <is>
          <t>Dose</t>
        </is>
      </c>
      <c r="G1" s="2" t="inlineStr">
        <is>
          <t>ขนาดยาต่ำสุด
(mg or unit)/dose</t>
        </is>
      </c>
      <c r="H1" s="2" t="inlineStr">
        <is>
          <t>ขนาดยาสูงสุด
(mg or unit)/dose</t>
        </is>
      </c>
      <c r="I1" s="2" t="inlineStr">
        <is>
          <t>ความถี่การให้ยา</t>
        </is>
      </c>
    </row>
    <row r="2" ht="166.5" customHeight="1" s="56">
      <c r="A2" s="1" t="inlineStr">
        <is>
          <t>ใส่ข้อมูลช่องสีแดงค่ะ
(ช่องอื่นรบกวนไม่แก้ไขค่ะ)</t>
        </is>
      </c>
      <c r="B2" s="3" t="inlineStr">
        <is>
          <t>Clindamycin 600 mg/4ml</t>
        </is>
      </c>
      <c r="C2" s="4" t="n">
        <v>160</v>
      </c>
      <c r="D2" s="4" t="n">
        <v>14</v>
      </c>
      <c r="E2" s="3" t="n">
        <v>2</v>
      </c>
      <c r="F2" s="2">
        <f t="array" ref="F2">XLOOKUP(B2,'ข้อมูลยา ห้ามแก้ไข'!$A$2:$A994,'ข้อมูลยา ห้ามแก้ไข'!$K$2:$K994,0)</f>
        <v/>
      </c>
      <c r="G2" s="5">
        <f t="array" ref="G2">((((XLOOKUP($B$2,'ข้อมูลยา ห้ามแก้ไข'!$A$2:$A994,'ข้อมูลยา ห้ามแก้ไข'!$L$2:$L994,0))*$D$2))/(XLOOKUP($B$2,'ข้อมูลยา ห้ามแก้ไข'!$A$2:$A994,'ข้อมูลยา ห้ามแก้ไข'!$N$2:$N994,0)))</f>
        <v/>
      </c>
      <c r="H2" s="5">
        <f t="array" ref="H2">((((XLOOKUP($B$2,'ข้อมูลยา ห้ามแก้ไข'!$A$2:$A994,'ข้อมูลยา ห้ามแก้ไข'!$M$2:$M994,0))*$D$2))/(XLOOKUP($B$2,'ข้อมูลยา ห้ามแก้ไข'!$A$2:$A994,'ข้อมูลยา ห้ามแก้ไข'!$N$2:$N994,0)))</f>
        <v/>
      </c>
      <c r="I2" s="2">
        <f t="array" ref="I2">XLOOKUP(B2,'ข้อมูลยา ห้ามแก้ไข'!$A$2:$A994,'ข้อมูลยา ห้ามแก้ไข'!$O$2:$O994,0)</f>
        <v/>
      </c>
    </row>
    <row r="3" ht="43.5" customHeight="1" s="56">
      <c r="A3" s="1" t="n"/>
      <c r="B3" s="6" t="inlineStr">
        <is>
          <t>ยาที่ใช้</t>
        </is>
      </c>
      <c r="C3" s="6" t="inlineStr">
        <is>
          <t>ขนาดยาที่แพทย์สั่ง (mg)</t>
        </is>
      </c>
      <c r="D3" s="6" t="inlineStr">
        <is>
          <t>สารน้ำที่ต้องผสม</t>
        </is>
      </c>
      <c r="E3" s="6" t="inlineStr">
        <is>
          <t>ปริมาตรยาที่ใช้ (ml)</t>
        </is>
      </c>
      <c r="F3" s="6" t="inlineStr">
        <is>
          <t>สารน้ำที่ต้องเจือจาง</t>
        </is>
      </c>
      <c r="G3" s="6" t="inlineStr">
        <is>
          <t>ปริมาตรสารน้ำที่ใช้เจือจาง (ml)</t>
        </is>
      </c>
      <c r="H3" s="6" t="inlineStr">
        <is>
          <t>ปริมาตรรวม</t>
        </is>
      </c>
      <c r="I3" s="6" t="inlineStr">
        <is>
          <t>ระยะเวลาที่ drip ยา</t>
        </is>
      </c>
      <c r="J3" s="7" t="inlineStr">
        <is>
          <t>หมายเหตุ</t>
        </is>
      </c>
    </row>
    <row r="4" ht="46.5" customHeight="1" s="56">
      <c r="A4" s="1" t="n"/>
      <c r="B4" s="6">
        <f>B2</f>
        <v/>
      </c>
      <c r="C4" s="8">
        <f>C2</f>
        <v/>
      </c>
      <c r="D4" s="6">
        <f t="array" ref="D4">XLOOKUP(B4,'ข้อมูลยา ห้ามแก้ไข'!$A$2:$A994,'ข้อมูลยา ห้ามแก้ไข'!$B$2:$B994,0)</f>
        <v/>
      </c>
      <c r="E4" s="9">
        <f t="array" ref="E4">C4/(XLOOKUP(B4,'ข้อมูลยา ห้ามแก้ไข'!$A$2:$A994,'ข้อมูลยา ห้ามแก้ไข'!$E$2:$E994,0))</f>
        <v/>
      </c>
      <c r="F4" s="6">
        <f t="array" ref="F4">XLOOKUP(B4,'ข้อมูลยา ห้ามแก้ไข'!$A$2:$A994,'ข้อมูลยา ห้ามแก้ไข'!$F$2:$F994,0)</f>
        <v/>
      </c>
      <c r="G4" s="9">
        <f t="array" ref="G4">(C4/(XLOOKUP(B4,'ข้อมูลยา ห้ามแก้ไข'!A2:A994,'ข้อมูลยา ห้ามแก้ไข'!H2:H994,"not found")))-E4</f>
        <v/>
      </c>
      <c r="H4" s="9">
        <f>E4+G4</f>
        <v/>
      </c>
      <c r="I4" s="10">
        <f t="array" ref="I4">XLOOKUP(B4,'ข้อมูลยา ห้ามแก้ไข'!$A$2:$A994,'ข้อมูลยา ห้ามแก้ไข'!$I$2:$I994,0)</f>
        <v/>
      </c>
      <c r="J4" s="11">
        <f t="array" ref="J4">XLOOKUP(B4,'ข้อมูลยา ห้ามแก้ไข'!A2:A994,'ข้อมูลยา ห้ามแก้ไข'!J2:J994,0)</f>
        <v/>
      </c>
    </row>
    <row r="5" ht="18.75" customHeight="1" s="56">
      <c r="A5" s="12" t="n"/>
      <c r="B5" s="12" t="n"/>
      <c r="C5" s="12" t="n"/>
      <c r="D5" s="12" t="n"/>
      <c r="E5" s="12" t="n"/>
      <c r="F5" s="12" t="n"/>
      <c r="G5" s="12" t="n"/>
      <c r="H5" s="12" t="n"/>
      <c r="I5" s="19" t="n"/>
    </row>
    <row r="6" ht="18.75" customHeight="1" s="56">
      <c r="A6" s="12" t="n"/>
      <c r="B6" s="12" t="n"/>
      <c r="C6" s="12" t="n"/>
      <c r="D6" s="12" t="n"/>
      <c r="E6" s="12" t="n"/>
      <c r="F6" s="12" t="n"/>
      <c r="G6" s="12" t="n"/>
      <c r="H6" s="12" t="n"/>
      <c r="I6" s="19" t="n"/>
    </row>
    <row r="7" ht="48" customHeight="1" s="56">
      <c r="A7" s="6" t="inlineStr">
        <is>
          <t>ยาที่ใช้</t>
        </is>
      </c>
      <c r="B7" s="6" t="inlineStr">
        <is>
          <t>ขนาดยาที่แพทย์สั่ง (mg)</t>
        </is>
      </c>
      <c r="C7" s="6" t="inlineStr">
        <is>
          <t>สารน้ำที่ต้องผสม</t>
        </is>
      </c>
      <c r="D7" s="6" t="inlineStr">
        <is>
          <t>ปริมาตรยาที่ใช้ (ml)</t>
        </is>
      </c>
      <c r="E7" s="6" t="inlineStr">
        <is>
          <t>สารน้ำที่ต้องเจือจาง</t>
        </is>
      </c>
      <c r="F7" s="6" t="inlineStr">
        <is>
          <t>ปริมาตรสารน้ำที่ใช้เจือจาง (ml)</t>
        </is>
      </c>
      <c r="G7" s="6" t="inlineStr">
        <is>
          <t>ปริมาตรรวม</t>
        </is>
      </c>
      <c r="H7" s="6" t="inlineStr">
        <is>
          <t>ระยะเวลาที่ drip ยา</t>
        </is>
      </c>
      <c r="I7" s="7" t="inlineStr">
        <is>
          <t>หมายเหตุ</t>
        </is>
      </c>
    </row>
    <row r="8" ht="67.5" customHeight="1" s="56">
      <c r="A8" s="14" t="inlineStr">
        <is>
          <t>Ampicillin500mg</t>
        </is>
      </c>
      <c r="B8" s="14" t="n">
        <v>250</v>
      </c>
      <c r="C8" s="15">
        <f t="array" ref="C8">XLOOKUP(A8,'ข้อมูลยา ห้ามแก้ไข'!$A$2:$A994,'ข้อมูลยา ห้ามแก้ไข'!$B$2:$B994,0)</f>
        <v/>
      </c>
      <c r="D8" s="16">
        <f t="array" ref="D8">B8/(XLOOKUP(A8,'ข้อมูลยา ห้ามแก้ไข'!$A$2:$A994,'ข้อมูลยา ห้ามแก้ไข'!$E$2:$E994,0))</f>
        <v/>
      </c>
      <c r="E8" s="17">
        <f t="array" ref="E8">XLOOKUP(A8,'ข้อมูลยา ห้ามแก้ไข'!$A$2:$A994,'ข้อมูลยา ห้ามแก้ไข'!$F$2:$F994,0)</f>
        <v/>
      </c>
      <c r="F8" s="16">
        <f t="array" ref="F8">(B8/(XLOOKUP(A8,'ข้อมูลยา ห้ามแก้ไข'!A2:A994,'ข้อมูลยา ห้ามแก้ไข'!H2:H994,"not found")))-D8</f>
        <v/>
      </c>
      <c r="G8" s="16">
        <f>D8+F8</f>
        <v/>
      </c>
      <c r="H8" s="18">
        <f t="array" ref="H8">XLOOKUP(A8,'ข้อมูลยา ห้ามแก้ไข'!$A$2:$A994,'ข้อมูลยา ห้ามแก้ไข'!$I$2:$I994,0)</f>
        <v/>
      </c>
      <c r="I8" s="19">
        <f t="array" ref="I8">XLOOKUP(A8,'ข้อมูลยา ห้ามแก้ไข'!A2:A994,'ข้อมูลยา ห้ามแก้ไข'!J2:J994,0)</f>
        <v/>
      </c>
    </row>
    <row r="9" ht="65.25" customHeight="1" s="56">
      <c r="A9" s="14" t="inlineStr">
        <is>
          <t>Ceftriaxone 1 g</t>
        </is>
      </c>
      <c r="B9" s="14" t="n">
        <v>700</v>
      </c>
      <c r="C9" s="15">
        <f t="array" ref="C9">XLOOKUP(A9,'ข้อมูลยา ห้ามแก้ไข'!$A$2:$A994,'ข้อมูลยา ห้ามแก้ไข'!$B$2:$B994,0)</f>
        <v/>
      </c>
      <c r="D9" s="16">
        <f t="array" ref="D9">B9/(XLOOKUP(A9,'ข้อมูลยา ห้ามแก้ไข'!$A$2:$A994,'ข้อมูลยา ห้ามแก้ไข'!$E$2:$E994,0))</f>
        <v/>
      </c>
      <c r="E9" s="17">
        <f t="array" ref="E9">XLOOKUP(A9,'ข้อมูลยา ห้ามแก้ไข'!$A$2:$A994,'ข้อมูลยา ห้ามแก้ไข'!$F$2:$F994,0)</f>
        <v/>
      </c>
      <c r="F9" s="16">
        <f t="array" ref="F9">(B9/(XLOOKUP(A9,'ข้อมูลยา ห้ามแก้ไข'!A3:A994,'ข้อมูลยา ห้ามแก้ไข'!H3:H994,"not found")))-D9</f>
        <v/>
      </c>
      <c r="G9" s="16">
        <f>D9+F9</f>
        <v/>
      </c>
      <c r="H9" s="18">
        <f t="array" ref="H9">XLOOKUP(A9,'ข้อมูลยา ห้ามแก้ไข'!$A$2:$A994,'ข้อมูลยา ห้ามแก้ไข'!$I$2:$I994,0)</f>
        <v/>
      </c>
      <c r="I9" s="19">
        <f t="array" ref="I9">XLOOKUP(A9,'ข้อมูลยา ห้ามแก้ไข'!A3:A994,'ข้อมูลยา ห้ามแก้ไข'!J3:J994,0)</f>
        <v/>
      </c>
    </row>
    <row r="10" ht="59.25" customHeight="1" s="56">
      <c r="A10" s="14" t="n"/>
      <c r="B10" s="14" t="n"/>
      <c r="C10" s="15">
        <f t="array" ref="C10">XLOOKUP(A10,'ข้อมูลยา ห้ามแก้ไข'!$A$2:$A994,'ข้อมูลยา ห้ามแก้ไข'!$B$2:$B994,0)</f>
        <v/>
      </c>
      <c r="D10" s="16">
        <f t="array" ref="D10">B10/(XLOOKUP(A10,'ข้อมูลยา ห้ามแก้ไข'!$A$2:$A994,'ข้อมูลยา ห้ามแก้ไข'!$E$2:$E994,0))</f>
        <v/>
      </c>
      <c r="E10" s="17">
        <f t="array" ref="E10">XLOOKUP(A10,'ข้อมูลยา ห้ามแก้ไข'!$A$2:$A994,'ข้อมูลยา ห้ามแก้ไข'!$F$2:$F994,0)</f>
        <v/>
      </c>
      <c r="F10" s="20">
        <f t="array" ref="F10">(B10/(XLOOKUP(A10,'ข้อมูลยา ห้ามแก้ไข'!A3:A994,'ข้อมูลยา ห้ามแก้ไข'!H3:H994,"not found")))-D10</f>
        <v/>
      </c>
      <c r="G10" s="20">
        <f>D10+F10</f>
        <v/>
      </c>
      <c r="H10" s="18">
        <f t="array" ref="H10">XLOOKUP(A10,'ข้อมูลยา ห้ามแก้ไข'!$A$2:$A994,'ข้อมูลยา ห้ามแก้ไข'!$I$2:$I994,0)</f>
        <v/>
      </c>
      <c r="I10" s="19">
        <f t="array" ref="I10">XLOOKUP(A10,'ข้อมูลยา ห้ามแก้ไข'!A3:A994,'ข้อมูลยา ห้ามแก้ไข'!J3:J994,0)</f>
        <v/>
      </c>
    </row>
    <row r="11" ht="66" customHeight="1" s="56">
      <c r="A11" s="14" t="n"/>
      <c r="B11" s="14" t="n"/>
      <c r="C11" s="15">
        <f t="array" ref="C11">XLOOKUP(A11,'ข้อมูลยา ห้ามแก้ไข'!$A$2:$A994,'ข้อมูลยา ห้ามแก้ไข'!$B$2:$B994,0)</f>
        <v/>
      </c>
      <c r="D11" s="16">
        <f t="array" ref="D11">B11/(XLOOKUP(A11,'ข้อมูลยา ห้ามแก้ไข'!$A$2:$A994,'ข้อมูลยา ห้ามแก้ไข'!$E$2:$E994,0))</f>
        <v/>
      </c>
      <c r="E11" s="17">
        <f t="array" ref="E11">XLOOKUP(A11,'ข้อมูลยา ห้ามแก้ไข'!$A$2:$A994,'ข้อมูลยา ห้ามแก้ไข'!$F$2:$F994,0)</f>
        <v/>
      </c>
      <c r="F11" s="20">
        <f t="array" ref="F11">(B11/(XLOOKUP(A11,'ข้อมูลยา ห้ามแก้ไข'!A4:A994,'ข้อมูลยา ห้ามแก้ไข'!H4:H994,"not found")))-D11</f>
        <v/>
      </c>
      <c r="G11" s="20">
        <f>D11+F11</f>
        <v/>
      </c>
      <c r="H11" s="18">
        <f t="array" ref="H11">XLOOKUP(A11,'ข้อมูลยา ห้ามแก้ไข'!$A$2:$A994,'ข้อมูลยา ห้ามแก้ไข'!$I$2:$I994,0)</f>
        <v/>
      </c>
      <c r="I11" s="19">
        <f t="array" ref="I11">XLOOKUP(A11,'ข้อมูลยา ห้ามแก้ไข'!A4:A994,'ข้อมูลยา ห้ามแก้ไข'!J4:J994,0)</f>
        <v/>
      </c>
    </row>
    <row r="12">
      <c r="A12" s="14" t="n"/>
      <c r="B12" s="14" t="n"/>
      <c r="C12" s="15">
        <f t="array" ref="C12">XLOOKUP(A12,'ข้อมูลยา ห้ามแก้ไข'!$A$2:$A994,'ข้อมูลยา ห้ามแก้ไข'!$B$2:$B994,0)</f>
        <v/>
      </c>
      <c r="D12" s="16">
        <f t="array" ref="D12">B12/(XLOOKUP(A12,'ข้อมูลยา ห้ามแก้ไข'!$A$2:$A994,'ข้อมูลยา ห้ามแก้ไข'!$E$2:$E994,0))</f>
        <v/>
      </c>
      <c r="E12" s="17">
        <f t="array" ref="E12">XLOOKUP(A12,'ข้อมูลยา ห้ามแก้ไข'!$A$2:$A994,'ข้อมูลยา ห้ามแก้ไข'!$F$2:$F994,0)</f>
        <v/>
      </c>
      <c r="F12" s="20">
        <f t="array" ref="F12">(B12/(XLOOKUP(A12,'ข้อมูลยา ห้ามแก้ไข'!A5:A994,'ข้อมูลยา ห้ามแก้ไข'!H5:H994,"not found")))-D12</f>
        <v/>
      </c>
      <c r="G12" s="20">
        <f>D12+F12</f>
        <v/>
      </c>
      <c r="H12" s="18">
        <f t="array" ref="H12">XLOOKUP(A12,'ข้อมูลยา ห้ามแก้ไข'!$A$2:$A994,'ข้อมูลยา ห้ามแก้ไข'!$I$2:$I994,0)</f>
        <v/>
      </c>
      <c r="I12" s="19">
        <f t="array" ref="I12">XLOOKUP(A12,'ข้อมูลยา ห้ามแก้ไข'!A5:A994,'ข้อมูลยา ห้ามแก้ไข'!J5:J994,0)</f>
        <v/>
      </c>
    </row>
    <row r="13">
      <c r="A13" s="14" t="n"/>
      <c r="B13" s="14" t="n"/>
      <c r="C13" s="15">
        <f t="array" ref="C13">XLOOKUP(A13,'ข้อมูลยา ห้ามแก้ไข'!$A$2:$A994,'ข้อมูลยา ห้ามแก้ไข'!$B$2:$B994,0)</f>
        <v/>
      </c>
      <c r="D13" s="16">
        <f t="array" ref="D13">B13/(XLOOKUP(A13,'ข้อมูลยา ห้ามแก้ไข'!$A$2:$A994,'ข้อมูลยา ห้ามแก้ไข'!$E$2:$E994,0))</f>
        <v/>
      </c>
      <c r="E13" s="17">
        <f t="array" ref="E13">XLOOKUP(A13,'ข้อมูลยา ห้ามแก้ไข'!$A$2:$A994,'ข้อมูลยา ห้ามแก้ไข'!$F$2:$F994,0)</f>
        <v/>
      </c>
      <c r="F13" s="20">
        <f t="array" ref="F13">(B13/(XLOOKUP(A13,'ข้อมูลยา ห้ามแก้ไข'!A5:A994,'ข้อมูลยา ห้ามแก้ไข'!H5:H994,"not found")))-D13</f>
        <v/>
      </c>
      <c r="G13" s="20">
        <f>D13+F13</f>
        <v/>
      </c>
      <c r="H13" s="18">
        <f t="array" ref="H13">XLOOKUP(A13,'ข้อมูลยา ห้ามแก้ไข'!$A$2:$A994,'ข้อมูลยา ห้ามแก้ไข'!$I$2:$I994,0)</f>
        <v/>
      </c>
      <c r="I13" s="19">
        <f t="array" ref="I13">XLOOKUP(A13,'ข้อมูลยา ห้ามแก้ไข'!A5:A994,'ข้อมูลยา ห้ามแก้ไข'!J5:J994,0)</f>
        <v/>
      </c>
    </row>
    <row r="14">
      <c r="A14" s="14" t="n"/>
      <c r="B14" s="14" t="n"/>
      <c r="C14" s="15">
        <f t="array" ref="C14">XLOOKUP(A14,'ข้อมูลยา ห้ามแก้ไข'!$A$2:$A994,'ข้อมูลยา ห้ามแก้ไข'!$B$2:$B994,0)</f>
        <v/>
      </c>
      <c r="D14" s="16">
        <f t="array" ref="D14">B14/(XLOOKUP(A14,'ข้อมูลยา ห้ามแก้ไข'!$A$2:$A994,'ข้อมูลยา ห้ามแก้ไข'!$E$2:$E994,0))</f>
        <v/>
      </c>
      <c r="E14" s="17">
        <f t="array" ref="E14">XLOOKUP(A14,'ข้อมูลยา ห้ามแก้ไข'!$A$2:$A994,'ข้อมูลยา ห้ามแก้ไข'!$F$2:$F994,0)</f>
        <v/>
      </c>
      <c r="F14" s="20">
        <f t="array" ref="F14">(B14/(XLOOKUP(A14,'ข้อมูลยา ห้ามแก้ไข'!A6:A994,'ข้อมูลยา ห้ามแก้ไข'!H6:H994,"not found")))-D14</f>
        <v/>
      </c>
      <c r="G14" s="20">
        <f>D14+F14</f>
        <v/>
      </c>
      <c r="H14" s="18">
        <f t="array" ref="H14">XLOOKUP(A14,'ข้อมูลยา ห้ามแก้ไข'!$A$2:$A994,'ข้อมูลยา ห้ามแก้ไข'!$I$2:$I994,0)</f>
        <v/>
      </c>
      <c r="I14" s="19">
        <f t="array" ref="I14">XLOOKUP(A14,'ข้อมูลยา ห้ามแก้ไข'!A6:A994,'ข้อมูลยา ห้ามแก้ไข'!J6:J994,0)</f>
        <v/>
      </c>
    </row>
    <row r="15">
      <c r="A15" s="14" t="n"/>
      <c r="B15" s="14" t="n"/>
      <c r="C15" s="15">
        <f t="array" ref="C15">XLOOKUP(A15,'ข้อมูลยา ห้ามแก้ไข'!$A$2:$A994,'ข้อมูลยา ห้ามแก้ไข'!$B$2:$B994,0)</f>
        <v/>
      </c>
      <c r="D15" s="16">
        <f t="array" ref="D15">B15/(XLOOKUP(A15,'ข้อมูลยา ห้ามแก้ไข'!$A$2:$A994,'ข้อมูลยา ห้ามแก้ไข'!$E$2:$E994,0))</f>
        <v/>
      </c>
      <c r="E15" s="17">
        <f t="array" ref="E15">XLOOKUP(A15,'ข้อมูลยา ห้ามแก้ไข'!$A$2:$A994,'ข้อมูลยา ห้ามแก้ไข'!$F$2:$F994,0)</f>
        <v/>
      </c>
      <c r="F15" s="20">
        <f t="array" ref="F15">(B15/(XLOOKUP(A15,'ข้อมูลยา ห้ามแก้ไข'!A7:A994,'ข้อมูลยา ห้ามแก้ไข'!H7:H994,"not found")))-D15</f>
        <v/>
      </c>
      <c r="G15" s="20">
        <f>D15+F15</f>
        <v/>
      </c>
      <c r="H15" s="18">
        <f t="array" ref="H15">XLOOKUP(A15,'ข้อมูลยา ห้ามแก้ไข'!$A$2:$A994,'ข้อมูลยา ห้ามแก้ไข'!$I$2:$I994,0)</f>
        <v/>
      </c>
      <c r="I15" s="19">
        <f t="array" ref="I15">XLOOKUP(A15,'ข้อมูลยา ห้ามแก้ไข'!A7:A994,'ข้อมูลยา ห้ามแก้ไข'!J7:J994,0)</f>
        <v/>
      </c>
    </row>
    <row r="16">
      <c r="A16" s="14" t="n"/>
      <c r="B16" s="14" t="n"/>
      <c r="C16" s="15">
        <f t="array" ref="C16">XLOOKUP(A16,'ข้อมูลยา ห้ามแก้ไข'!$A$2:$A994,'ข้อมูลยา ห้ามแก้ไข'!$B$2:$B994,0)</f>
        <v/>
      </c>
      <c r="D16" s="16">
        <f t="array" ref="D16">B16/(XLOOKUP(A16,'ข้อมูลยา ห้ามแก้ไข'!$A$2:$A994,'ข้อมูลยา ห้ามแก้ไข'!$E$2:$E994,0))</f>
        <v/>
      </c>
      <c r="E16" s="17">
        <f t="array" ref="E16">XLOOKUP(A16,'ข้อมูลยา ห้ามแก้ไข'!$A$2:$A994,'ข้อมูลยา ห้ามแก้ไข'!$F$2:$F994,0)</f>
        <v/>
      </c>
      <c r="F16" s="20">
        <f t="array" ref="F16">(B16/(XLOOKUP(A16,'ข้อมูลยา ห้ามแก้ไข'!A8:A994,'ข้อมูลยา ห้ามแก้ไข'!H8:H994,"not found")))-D16</f>
        <v/>
      </c>
      <c r="G16" s="20">
        <f>D16+F16</f>
        <v/>
      </c>
      <c r="H16" s="18">
        <f t="array" ref="H16">XLOOKUP(A16,'ข้อมูลยา ห้ามแก้ไข'!$A$2:$A994,'ข้อมูลยา ห้ามแก้ไข'!$I$2:$I994,0)</f>
        <v/>
      </c>
      <c r="I16" s="19">
        <f t="array" ref="I16">XLOOKUP(A16,'ข้อมูลยา ห้ามแก้ไข'!A8:A994,'ข้อมูลยา ห้ามแก้ไข'!J8:J994,0)</f>
        <v/>
      </c>
    </row>
    <row r="17">
      <c r="A17" s="14" t="n"/>
      <c r="B17" s="14" t="n"/>
      <c r="C17" s="15">
        <f t="array" ref="C17">XLOOKUP(A17,'ข้อมูลยา ห้ามแก้ไข'!$A$2:$A994,'ข้อมูลยา ห้ามแก้ไข'!$B$2:$B994,0)</f>
        <v/>
      </c>
      <c r="D17" s="16">
        <f t="array" ref="D17">B17/(XLOOKUP(A17,'ข้อมูลยา ห้ามแก้ไข'!$A$2:$A994,'ข้อมูลยา ห้ามแก้ไข'!$E$2:$E994,0))</f>
        <v/>
      </c>
      <c r="E17" s="17">
        <f t="array" ref="E17">XLOOKUP(A17,'ข้อมูลยา ห้ามแก้ไข'!$A$2:$A994,'ข้อมูลยา ห้ามแก้ไข'!$F$2:$F994,0)</f>
        <v/>
      </c>
      <c r="F17" s="20">
        <f t="array" ref="F17">(B17/(XLOOKUP(A17,'ข้อมูลยา ห้ามแก้ไข'!A9:A994,'ข้อมูลยา ห้ามแก้ไข'!H9:H994,"not found")))-D17</f>
        <v/>
      </c>
      <c r="G17" s="20">
        <f>D17+F17</f>
        <v/>
      </c>
      <c r="H17" s="18">
        <f t="array" ref="H17">XLOOKUP(A17,'ข้อมูลยา ห้ามแก้ไข'!$A$2:$A994,'ข้อมูลยา ห้ามแก้ไข'!$I$2:$I994,0)</f>
        <v/>
      </c>
      <c r="I17" s="19">
        <f t="array" ref="I17">XLOOKUP(A17,'ข้อมูลยา ห้ามแก้ไข'!A9:A994,'ข้อมูลยา ห้ามแก้ไข'!J9:J994,0)</f>
        <v/>
      </c>
    </row>
    <row r="18">
      <c r="A18" s="14" t="n"/>
      <c r="B18" s="14" t="n"/>
      <c r="C18" s="15">
        <f t="array" ref="C18">XLOOKUP(A18,'ข้อมูลยา ห้ามแก้ไข'!$A$2:$A994,'ข้อมูลยา ห้ามแก้ไข'!$B$2:$B994,0)</f>
        <v/>
      </c>
      <c r="D18" s="16">
        <f t="array" ref="D18">B18/(XLOOKUP(A18,'ข้อมูลยา ห้ามแก้ไข'!$A$2:$A994,'ข้อมูลยา ห้ามแก้ไข'!$E$2:$E994,0))</f>
        <v/>
      </c>
      <c r="E18" s="17">
        <f t="array" ref="E18">XLOOKUP(A18,'ข้อมูลยา ห้ามแก้ไข'!$A$2:$A994,'ข้อมูลยา ห้ามแก้ไข'!$F$2:$F994,0)</f>
        <v/>
      </c>
      <c r="F18" s="20">
        <f t="array" ref="F18">(B18/(XLOOKUP(A18,'ข้อมูลยา ห้ามแก้ไข'!A10:A994,'ข้อมูลยา ห้ามแก้ไข'!H10:H994,"not found")))-D18</f>
        <v/>
      </c>
      <c r="G18" s="20">
        <f>D18+F18</f>
        <v/>
      </c>
      <c r="H18" s="18">
        <f t="array" ref="H18">XLOOKUP(A18,'ข้อมูลยา ห้ามแก้ไข'!$A$2:$A994,'ข้อมูลยา ห้ามแก้ไข'!$I$2:$I994,0)</f>
        <v/>
      </c>
      <c r="I18" s="19">
        <f t="array" ref="I18">XLOOKUP(A18,'ข้อมูลยา ห้ามแก้ไข'!A10:A994,'ข้อมูลยา ห้ามแก้ไข'!J10:J994,0)</f>
        <v/>
      </c>
    </row>
    <row r="19">
      <c r="A19" s="14" t="n"/>
      <c r="B19" s="14" t="n"/>
      <c r="C19" s="15">
        <f t="array" ref="C19">XLOOKUP(A19,'ข้อมูลยา ห้ามแก้ไข'!$A$2:$A994,'ข้อมูลยา ห้ามแก้ไข'!$B$2:$B994,0)</f>
        <v/>
      </c>
      <c r="D19" s="16">
        <f t="array" ref="D19">B19/(XLOOKUP(A19,'ข้อมูลยา ห้ามแก้ไข'!$A$2:$A994,'ข้อมูลยา ห้ามแก้ไข'!$E$2:$E994,0))</f>
        <v/>
      </c>
      <c r="E19" s="17">
        <f t="array" ref="E19">XLOOKUP(A19,'ข้อมูลยา ห้ามแก้ไข'!$A$2:$A994,'ข้อมูลยา ห้ามแก้ไข'!$F$2:$F994,0)</f>
        <v/>
      </c>
      <c r="F19" s="20">
        <f t="array" ref="F19">(B19/(XLOOKUP(A19,'ข้อมูลยา ห้ามแก้ไข'!A11:A994,'ข้อมูลยา ห้ามแก้ไข'!H11:H994,"not found")))-D19</f>
        <v/>
      </c>
      <c r="G19" s="20">
        <f>D19+F19</f>
        <v/>
      </c>
      <c r="H19" s="18">
        <f t="array" ref="H19">XLOOKUP(A19,'ข้อมูลยา ห้ามแก้ไข'!$A$2:$A994,'ข้อมูลยา ห้ามแก้ไข'!$I$2:$I994,0)</f>
        <v/>
      </c>
      <c r="I19" s="19">
        <f t="array" ref="I19">XLOOKUP(A19,'ข้อมูลยา ห้ามแก้ไข'!A11:A994,'ข้อมูลยา ห้ามแก้ไข'!J11:J994,0)</f>
        <v/>
      </c>
    </row>
    <row r="20">
      <c r="A20" s="14" t="n"/>
      <c r="B20" s="14" t="n"/>
      <c r="C20" s="15">
        <f t="array" ref="C20">XLOOKUP(A20,'ข้อมูลยา ห้ามแก้ไข'!$A$2:$A994,'ข้อมูลยา ห้ามแก้ไข'!$B$2:$B994,0)</f>
        <v/>
      </c>
      <c r="D20" s="16">
        <f t="array" ref="D20">B20/(XLOOKUP(A20,'ข้อมูลยา ห้ามแก้ไข'!$A$2:$A994,'ข้อมูลยา ห้ามแก้ไข'!$E$2:$E994,0))</f>
        <v/>
      </c>
      <c r="E20" s="17">
        <f t="array" ref="E20">XLOOKUP(A20,'ข้อมูลยา ห้ามแก้ไข'!$A$2:$A994,'ข้อมูลยา ห้ามแก้ไข'!$F$2:$F994,0)</f>
        <v/>
      </c>
      <c r="F20" s="20">
        <f t="array" ref="F20">(B20/(XLOOKUP(A20,'ข้อมูลยา ห้ามแก้ไข'!A12:A994,'ข้อมูลยา ห้ามแก้ไข'!H12:H994,"not found")))-D20</f>
        <v/>
      </c>
      <c r="G20" s="20">
        <f>D20+F20</f>
        <v/>
      </c>
      <c r="H20" s="18">
        <f t="array" ref="H20">XLOOKUP(A20,'ข้อมูลยา ห้ามแก้ไข'!$A$2:$A994,'ข้อมูลยา ห้ามแก้ไข'!$I$2:$I994,0)</f>
        <v/>
      </c>
      <c r="I20" s="19">
        <f t="array" ref="I20">XLOOKUP(A20,'ข้อมูลยา ห้ามแก้ไข'!A12:A994,'ข้อมูลยา ห้ามแก้ไข'!J12:J994,0)</f>
        <v/>
      </c>
    </row>
    <row r="21">
      <c r="A21" s="22" t="inlineStr">
        <is>
          <t>Ceftriaxone 1 g</t>
        </is>
      </c>
      <c r="B21" s="22" t="n">
        <v>700</v>
      </c>
    </row>
    <row r="22">
      <c r="A22" s="22" t="n"/>
    </row>
    <row r="23">
      <c r="A23" s="22" t="n"/>
    </row>
    <row r="24">
      <c r="A24" s="22" t="n"/>
    </row>
    <row r="25">
      <c r="A25" s="22" t="n"/>
    </row>
    <row r="26">
      <c r="A26" s="22" t="n"/>
    </row>
    <row r="27">
      <c r="A27" s="22" t="n"/>
    </row>
    <row r="28">
      <c r="A28" s="22" t="n"/>
    </row>
    <row r="29">
      <c r="A29" s="22" t="n"/>
    </row>
    <row r="30">
      <c r="A30" s="22" t="n"/>
    </row>
    <row r="31">
      <c r="A31" s="22" t="n"/>
    </row>
    <row r="32">
      <c r="A32" s="22" t="n"/>
    </row>
    <row r="33">
      <c r="A33" s="22" t="n"/>
    </row>
    <row r="34">
      <c r="A34" s="22" t="n"/>
    </row>
    <row r="35">
      <c r="A35" s="22" t="n"/>
    </row>
    <row r="36">
      <c r="A36" s="22" t="n"/>
    </row>
    <row r="37">
      <c r="A37" s="22" t="n"/>
    </row>
    <row r="38">
      <c r="A38" s="22" t="n"/>
    </row>
    <row r="39">
      <c r="A39" s="22" t="n"/>
    </row>
    <row r="40">
      <c r="A40" s="22" t="n"/>
    </row>
    <row r="41">
      <c r="A41" s="22" t="n"/>
    </row>
    <row r="42">
      <c r="A42" s="22" t="n"/>
    </row>
    <row r="43">
      <c r="A43" s="22" t="n"/>
    </row>
    <row r="44">
      <c r="A44" s="22" t="n"/>
    </row>
    <row r="45">
      <c r="A45" s="22" t="n"/>
    </row>
    <row r="46">
      <c r="A46" s="22" t="n"/>
    </row>
    <row r="47">
      <c r="A47" s="22" t="n"/>
    </row>
    <row r="48">
      <c r="A48" s="22" t="n"/>
    </row>
    <row r="49">
      <c r="A49" s="22" t="n"/>
    </row>
    <row r="50">
      <c r="A50" s="22" t="n"/>
    </row>
    <row r="51">
      <c r="A51" s="22" t="n"/>
    </row>
    <row r="52">
      <c r="A52" s="22" t="n"/>
    </row>
    <row r="53">
      <c r="A53" s="22" t="n"/>
    </row>
    <row r="54">
      <c r="A54" s="22" t="n"/>
    </row>
    <row r="55">
      <c r="A55" s="22" t="n"/>
    </row>
    <row r="56">
      <c r="A56" s="22" t="n"/>
    </row>
    <row r="57">
      <c r="A57" s="22" t="n"/>
    </row>
    <row r="58">
      <c r="A58" s="22" t="n"/>
    </row>
    <row r="59">
      <c r="A59" s="22" t="n"/>
    </row>
    <row r="60">
      <c r="A60" s="22" t="n"/>
    </row>
    <row r="61">
      <c r="A61" s="22" t="n"/>
    </row>
    <row r="62">
      <c r="A62" s="22" t="n"/>
    </row>
    <row r="63">
      <c r="A63" s="22" t="n"/>
    </row>
    <row r="64">
      <c r="A64" s="22" t="n"/>
    </row>
    <row r="65">
      <c r="A65" s="22" t="n"/>
    </row>
    <row r="66">
      <c r="A66" s="22" t="n"/>
    </row>
    <row r="67">
      <c r="A67" s="22" t="n"/>
    </row>
    <row r="68">
      <c r="A68" s="22" t="n"/>
    </row>
    <row r="69">
      <c r="A69" s="22" t="n"/>
    </row>
    <row r="70">
      <c r="A70" s="22" t="n"/>
    </row>
    <row r="71">
      <c r="A71" s="22" t="n"/>
    </row>
    <row r="72">
      <c r="A72" s="22" t="n"/>
    </row>
    <row r="73">
      <c r="A73" s="22" t="n"/>
    </row>
    <row r="74">
      <c r="A74" s="22" t="n"/>
    </row>
    <row r="75">
      <c r="A75" s="22" t="n"/>
    </row>
    <row r="76">
      <c r="A76" s="22" t="n"/>
    </row>
    <row r="77">
      <c r="A77" s="22" t="n"/>
    </row>
    <row r="78">
      <c r="A78" s="22" t="n"/>
    </row>
    <row r="79">
      <c r="A79" s="22" t="n"/>
    </row>
    <row r="80">
      <c r="A80" s="22" t="n"/>
    </row>
    <row r="81">
      <c r="A81" s="22" t="n"/>
    </row>
    <row r="82">
      <c r="A82" s="22" t="n"/>
    </row>
    <row r="83">
      <c r="A83" s="22" t="n"/>
    </row>
    <row r="84">
      <c r="A84" s="22" t="n"/>
    </row>
    <row r="85">
      <c r="A85" s="22" t="n"/>
    </row>
    <row r="86">
      <c r="A86" s="22" t="n"/>
    </row>
    <row r="87">
      <c r="A87" s="22" t="n"/>
    </row>
    <row r="88">
      <c r="A88" s="22" t="n"/>
    </row>
    <row r="89">
      <c r="A89" s="22" t="n"/>
    </row>
    <row r="90">
      <c r="A90" s="22" t="n"/>
    </row>
    <row r="91">
      <c r="A91" s="22" t="n"/>
    </row>
    <row r="92">
      <c r="A92" s="22" t="n"/>
    </row>
    <row r="93">
      <c r="A93" s="22" t="n"/>
    </row>
    <row r="94">
      <c r="A94" s="22" t="n"/>
    </row>
    <row r="95">
      <c r="A95" s="22" t="n"/>
    </row>
    <row r="96">
      <c r="A96" s="22" t="n"/>
    </row>
    <row r="97">
      <c r="A97" s="22" t="n"/>
    </row>
    <row r="98">
      <c r="A98" s="22" t="n"/>
    </row>
    <row r="99">
      <c r="A99" s="22" t="n"/>
    </row>
    <row r="100">
      <c r="A100" s="22" t="n"/>
    </row>
    <row r="101">
      <c r="A101" s="22" t="n"/>
    </row>
    <row r="102">
      <c r="A102" s="22" t="n"/>
    </row>
    <row r="103">
      <c r="A103" s="22" t="n"/>
    </row>
    <row r="104">
      <c r="A104" s="22" t="n"/>
    </row>
    <row r="105">
      <c r="A105" s="22" t="n"/>
    </row>
    <row r="106">
      <c r="A106" s="22" t="n"/>
    </row>
    <row r="107">
      <c r="A107" s="22" t="n"/>
    </row>
    <row r="108">
      <c r="A108" s="22" t="n"/>
    </row>
    <row r="109">
      <c r="A109" s="22" t="n"/>
    </row>
    <row r="110">
      <c r="A110" s="22" t="n"/>
    </row>
    <row r="111">
      <c r="A111" s="22" t="n"/>
    </row>
    <row r="112">
      <c r="A112" s="22" t="n"/>
    </row>
    <row r="113">
      <c r="A113" s="22" t="n"/>
    </row>
    <row r="114">
      <c r="A114" s="22" t="n"/>
    </row>
    <row r="115">
      <c r="A115" s="22" t="n"/>
    </row>
    <row r="116">
      <c r="A116" s="22" t="n"/>
    </row>
    <row r="117">
      <c r="A117" s="22" t="n"/>
    </row>
    <row r="118">
      <c r="A118" s="22" t="n"/>
    </row>
    <row r="119">
      <c r="A119" s="22" t="n"/>
    </row>
    <row r="120">
      <c r="A120" s="22" t="n"/>
    </row>
    <row r="121">
      <c r="A121" s="22" t="n"/>
    </row>
    <row r="122">
      <c r="A122" s="22" t="n"/>
    </row>
    <row r="123">
      <c r="A123" s="22" t="n"/>
    </row>
    <row r="124">
      <c r="A124" s="22" t="n"/>
    </row>
    <row r="125">
      <c r="A125" s="22" t="n"/>
    </row>
    <row r="126">
      <c r="A126" s="22" t="n"/>
    </row>
    <row r="127">
      <c r="A127" s="22" t="n"/>
    </row>
    <row r="128">
      <c r="A128" s="22" t="n"/>
    </row>
    <row r="129">
      <c r="A129" s="22" t="n"/>
    </row>
    <row r="130">
      <c r="A130" s="22" t="n"/>
    </row>
    <row r="131">
      <c r="A131" s="22" t="n"/>
    </row>
    <row r="132">
      <c r="A132" s="22" t="n"/>
    </row>
    <row r="133">
      <c r="A133" s="22" t="n"/>
    </row>
    <row r="134">
      <c r="A134" s="22" t="n"/>
    </row>
    <row r="135">
      <c r="A135" s="22" t="n"/>
    </row>
    <row r="136">
      <c r="A136" s="22" t="n"/>
    </row>
    <row r="137">
      <c r="A137" s="22" t="n"/>
    </row>
    <row r="138">
      <c r="A138" s="22" t="n"/>
    </row>
    <row r="139">
      <c r="A139" s="22" t="n"/>
    </row>
    <row r="140">
      <c r="A140" s="22" t="n"/>
    </row>
    <row r="141">
      <c r="A141" s="22" t="n"/>
    </row>
    <row r="142">
      <c r="A142" s="22" t="n"/>
    </row>
    <row r="143">
      <c r="A143" s="22" t="n"/>
    </row>
    <row r="144">
      <c r="A144" s="22" t="n"/>
    </row>
    <row r="145">
      <c r="A145" s="22" t="n"/>
    </row>
    <row r="146">
      <c r="A146" s="22" t="n"/>
    </row>
    <row r="147">
      <c r="A147" s="22" t="n"/>
    </row>
    <row r="148">
      <c r="A148" s="22" t="n"/>
    </row>
    <row r="149">
      <c r="A149" s="22" t="n"/>
    </row>
    <row r="150">
      <c r="A150" s="22" t="n"/>
    </row>
    <row r="151">
      <c r="A151" s="22" t="n"/>
    </row>
    <row r="152">
      <c r="A152" s="22" t="n"/>
    </row>
    <row r="153">
      <c r="A153" s="22" t="n"/>
    </row>
    <row r="154">
      <c r="A154" s="22" t="n"/>
    </row>
    <row r="155">
      <c r="A155" s="22" t="n"/>
    </row>
    <row r="156">
      <c r="A156" s="22" t="n"/>
    </row>
    <row r="157">
      <c r="A157" s="22" t="n"/>
    </row>
    <row r="158">
      <c r="A158" s="22" t="n"/>
    </row>
    <row r="159">
      <c r="A159" s="22" t="n"/>
    </row>
    <row r="160">
      <c r="A160" s="22" t="n"/>
    </row>
    <row r="161">
      <c r="A161" s="22" t="n"/>
    </row>
    <row r="162">
      <c r="A162" s="22" t="n"/>
    </row>
    <row r="163">
      <c r="A163" s="22" t="n"/>
    </row>
    <row r="164">
      <c r="A164" s="22" t="n"/>
    </row>
    <row r="165">
      <c r="A165" s="22" t="n"/>
    </row>
    <row r="166">
      <c r="A166" s="22" t="n"/>
    </row>
    <row r="167">
      <c r="A167" s="22" t="n"/>
    </row>
    <row r="168">
      <c r="A168" s="22" t="n"/>
    </row>
    <row r="169">
      <c r="A169" s="22" t="n"/>
    </row>
    <row r="170">
      <c r="A170" s="22" t="n"/>
    </row>
    <row r="171">
      <c r="A171" s="22" t="n"/>
    </row>
    <row r="172">
      <c r="A172" s="22" t="n"/>
    </row>
    <row r="173">
      <c r="A173" s="22" t="n"/>
    </row>
    <row r="174">
      <c r="A174" s="22" t="n"/>
    </row>
    <row r="175">
      <c r="A175" s="22" t="n"/>
    </row>
    <row r="176">
      <c r="A176" s="22" t="n"/>
    </row>
    <row r="177">
      <c r="A177" s="22" t="n"/>
    </row>
    <row r="178">
      <c r="A178" s="22" t="n"/>
    </row>
    <row r="179">
      <c r="A179" s="22" t="n"/>
    </row>
    <row r="180">
      <c r="A180" s="22" t="n"/>
    </row>
    <row r="181">
      <c r="A181" s="22" t="n"/>
    </row>
    <row r="182">
      <c r="A182" s="22" t="n"/>
    </row>
    <row r="183">
      <c r="A183" s="22" t="n"/>
    </row>
    <row r="184">
      <c r="A184" s="22" t="n"/>
    </row>
    <row r="185">
      <c r="A185" s="22" t="n"/>
    </row>
    <row r="186">
      <c r="A186" s="22" t="n"/>
    </row>
    <row r="187">
      <c r="A187" s="22" t="n"/>
    </row>
    <row r="188">
      <c r="A188" s="22" t="n"/>
    </row>
    <row r="189">
      <c r="A189" s="22" t="n"/>
    </row>
    <row r="190">
      <c r="A190" s="22" t="n"/>
    </row>
    <row r="191">
      <c r="A191" s="22" t="n"/>
    </row>
    <row r="192">
      <c r="A192" s="22" t="n"/>
    </row>
    <row r="193">
      <c r="A193" s="22" t="n"/>
    </row>
    <row r="194">
      <c r="A194" s="22" t="n"/>
    </row>
    <row r="195">
      <c r="A195" s="22" t="n"/>
    </row>
    <row r="196">
      <c r="A196" s="22" t="n"/>
    </row>
    <row r="197">
      <c r="A197" s="22" t="n"/>
    </row>
    <row r="198">
      <c r="A198" s="22" t="n"/>
    </row>
    <row r="199">
      <c r="A199" s="22" t="n"/>
    </row>
    <row r="200">
      <c r="A200" s="22" t="n"/>
    </row>
    <row r="201">
      <c r="A201" s="22" t="n"/>
    </row>
    <row r="202">
      <c r="A202" s="22" t="n"/>
    </row>
    <row r="203">
      <c r="A203" s="22" t="n"/>
    </row>
    <row r="204">
      <c r="A204" s="22" t="n"/>
    </row>
    <row r="205">
      <c r="A205" s="22" t="n"/>
    </row>
    <row r="206">
      <c r="A206" s="22" t="n"/>
    </row>
    <row r="207">
      <c r="A207" s="22" t="n"/>
    </row>
    <row r="208">
      <c r="A208" s="22" t="n"/>
    </row>
    <row r="209">
      <c r="A209" s="22" t="n"/>
    </row>
    <row r="210">
      <c r="A210" s="22" t="n"/>
    </row>
    <row r="211">
      <c r="A211" s="22" t="n"/>
    </row>
    <row r="212">
      <c r="A212" s="22" t="n"/>
    </row>
    <row r="213">
      <c r="A213" s="22" t="n"/>
    </row>
    <row r="214">
      <c r="A214" s="22" t="n"/>
    </row>
    <row r="215">
      <c r="A215" s="22" t="n"/>
    </row>
    <row r="216">
      <c r="A216" s="22" t="n"/>
    </row>
    <row r="217">
      <c r="A217" s="22" t="n"/>
    </row>
    <row r="218">
      <c r="A218" s="22" t="n"/>
    </row>
    <row r="219">
      <c r="A219" s="22" t="n"/>
    </row>
    <row r="220">
      <c r="A220" s="22" t="n"/>
    </row>
    <row r="221">
      <c r="A221" s="22" t="n"/>
    </row>
    <row r="222">
      <c r="A222" s="22" t="n"/>
    </row>
    <row r="223">
      <c r="A223" s="22" t="n"/>
    </row>
    <row r="224">
      <c r="A224" s="22" t="n"/>
    </row>
    <row r="225">
      <c r="A225" s="22" t="n"/>
    </row>
    <row r="226">
      <c r="A226" s="22" t="n"/>
    </row>
    <row r="227">
      <c r="A227" s="22" t="n"/>
    </row>
    <row r="228">
      <c r="A228" s="22" t="n"/>
    </row>
    <row r="229">
      <c r="A229" s="22" t="n"/>
    </row>
    <row r="230">
      <c r="A230" s="22" t="n"/>
    </row>
    <row r="231">
      <c r="A231" s="22" t="n"/>
    </row>
    <row r="232">
      <c r="A232" s="22" t="n"/>
    </row>
    <row r="233">
      <c r="A233" s="22" t="n"/>
    </row>
    <row r="234">
      <c r="A234" s="22" t="n"/>
    </row>
    <row r="235">
      <c r="A235" s="22" t="n"/>
    </row>
    <row r="236">
      <c r="A236" s="22" t="n"/>
    </row>
    <row r="237">
      <c r="A237" s="22" t="n"/>
    </row>
    <row r="238">
      <c r="A238" s="22" t="n"/>
    </row>
    <row r="239">
      <c r="A239" s="22" t="n"/>
    </row>
    <row r="240">
      <c r="A240" s="22" t="n"/>
    </row>
    <row r="241">
      <c r="A241" s="22" t="n"/>
    </row>
    <row r="242">
      <c r="A242" s="22" t="n"/>
    </row>
    <row r="243">
      <c r="A243" s="22" t="n"/>
    </row>
    <row r="244">
      <c r="A244" s="22" t="n"/>
    </row>
    <row r="245">
      <c r="A245" s="22" t="n"/>
    </row>
    <row r="246">
      <c r="A246" s="22" t="n"/>
    </row>
    <row r="247">
      <c r="A247" s="22" t="n"/>
    </row>
    <row r="248">
      <c r="A248" s="22" t="n"/>
    </row>
    <row r="249">
      <c r="A249" s="22" t="n"/>
    </row>
    <row r="250">
      <c r="A250" s="22" t="n"/>
    </row>
    <row r="251">
      <c r="A251" s="22" t="n"/>
    </row>
    <row r="252">
      <c r="A252" s="22" t="n"/>
    </row>
    <row r="253">
      <c r="A253" s="22" t="n"/>
    </row>
    <row r="254">
      <c r="A254" s="22" t="n"/>
    </row>
    <row r="255">
      <c r="A255" s="22" t="n"/>
    </row>
    <row r="256">
      <c r="A256" s="22" t="n"/>
    </row>
    <row r="257">
      <c r="A257" s="22" t="n"/>
    </row>
    <row r="258">
      <c r="A258" s="22" t="n"/>
    </row>
    <row r="259">
      <c r="A259" s="22" t="n"/>
    </row>
    <row r="260">
      <c r="A260" s="22" t="n"/>
    </row>
    <row r="261">
      <c r="A261" s="22" t="n"/>
    </row>
    <row r="262">
      <c r="A262" s="22" t="n"/>
    </row>
    <row r="263">
      <c r="A263" s="22" t="n"/>
    </row>
    <row r="264">
      <c r="A264" s="22" t="n"/>
    </row>
    <row r="265">
      <c r="A265" s="22" t="n"/>
    </row>
    <row r="266">
      <c r="A266" s="22" t="n"/>
    </row>
    <row r="267">
      <c r="A267" s="22" t="n"/>
    </row>
    <row r="268">
      <c r="A268" s="22" t="n"/>
    </row>
    <row r="269">
      <c r="A269" s="22" t="n"/>
    </row>
    <row r="270">
      <c r="A270" s="22" t="n"/>
    </row>
    <row r="271">
      <c r="A271" s="22" t="n"/>
    </row>
    <row r="272">
      <c r="A272" s="22" t="n"/>
    </row>
    <row r="273">
      <c r="A273" s="22" t="n"/>
    </row>
    <row r="274">
      <c r="A274" s="22" t="n"/>
    </row>
    <row r="275">
      <c r="A275" s="22" t="n"/>
    </row>
    <row r="276">
      <c r="A276" s="22" t="n"/>
    </row>
    <row r="277">
      <c r="A277" s="22" t="n"/>
    </row>
    <row r="278">
      <c r="A278" s="22" t="n"/>
    </row>
    <row r="279">
      <c r="A279" s="22" t="n"/>
    </row>
    <row r="280">
      <c r="A280" s="22" t="n"/>
    </row>
    <row r="281">
      <c r="A281" s="22" t="n"/>
    </row>
    <row r="282">
      <c r="A282" s="22" t="n"/>
    </row>
    <row r="283">
      <c r="A283" s="22" t="n"/>
    </row>
    <row r="284">
      <c r="A284" s="22" t="n"/>
    </row>
    <row r="285">
      <c r="A285" s="22" t="n"/>
    </row>
    <row r="286">
      <c r="A286" s="22" t="n"/>
    </row>
    <row r="287">
      <c r="A287" s="22" t="n"/>
    </row>
    <row r="288">
      <c r="A288" s="22" t="n"/>
    </row>
    <row r="289">
      <c r="A289" s="22" t="n"/>
    </row>
    <row r="290">
      <c r="A290" s="22" t="n"/>
    </row>
    <row r="291">
      <c r="A291" s="22" t="n"/>
    </row>
    <row r="292">
      <c r="A292" s="22" t="n"/>
    </row>
    <row r="293">
      <c r="A293" s="22" t="n"/>
    </row>
    <row r="294">
      <c r="A294" s="22" t="n"/>
    </row>
    <row r="295">
      <c r="A295" s="22" t="n"/>
    </row>
    <row r="296">
      <c r="A296" s="22" t="n"/>
    </row>
    <row r="297">
      <c r="A297" s="22" t="n"/>
    </row>
    <row r="298">
      <c r="A298" s="22" t="n"/>
    </row>
    <row r="299">
      <c r="A299" s="22" t="n"/>
    </row>
    <row r="300">
      <c r="A300" s="22" t="n"/>
    </row>
    <row r="301">
      <c r="A301" s="22" t="n"/>
    </row>
    <row r="302">
      <c r="A302" s="22" t="n"/>
    </row>
    <row r="303">
      <c r="A303" s="22" t="n"/>
    </row>
    <row r="304">
      <c r="A304" s="22" t="n"/>
    </row>
    <row r="305">
      <c r="A305" s="22" t="n"/>
    </row>
    <row r="306">
      <c r="A306" s="22" t="n"/>
    </row>
    <row r="307">
      <c r="A307" s="22" t="n"/>
    </row>
    <row r="308">
      <c r="A308" s="22" t="n"/>
    </row>
    <row r="309">
      <c r="A309" s="22" t="n"/>
    </row>
    <row r="310">
      <c r="A310" s="22" t="n"/>
    </row>
    <row r="311">
      <c r="A311" s="22" t="n"/>
    </row>
    <row r="312">
      <c r="A312" s="22" t="n"/>
    </row>
    <row r="313">
      <c r="A313" s="22" t="n"/>
    </row>
    <row r="314">
      <c r="A314" s="22" t="n"/>
    </row>
    <row r="315">
      <c r="A315" s="22" t="n"/>
    </row>
    <row r="316">
      <c r="A316" s="22" t="n"/>
    </row>
    <row r="317">
      <c r="A317" s="22" t="n"/>
    </row>
    <row r="318">
      <c r="A318" s="22" t="n"/>
    </row>
    <row r="319">
      <c r="A319" s="22" t="n"/>
    </row>
    <row r="320">
      <c r="A320" s="22" t="n"/>
    </row>
    <row r="321">
      <c r="A321" s="22" t="n"/>
    </row>
    <row r="322">
      <c r="A322" s="22" t="n"/>
    </row>
    <row r="323">
      <c r="A323" s="22" t="n"/>
    </row>
    <row r="324">
      <c r="A324" s="22" t="n"/>
    </row>
    <row r="325">
      <c r="A325" s="22" t="n"/>
    </row>
    <row r="326">
      <c r="A326" s="22" t="n"/>
    </row>
    <row r="327">
      <c r="A327" s="22" t="n"/>
    </row>
    <row r="328">
      <c r="A328" s="22" t="n"/>
    </row>
    <row r="329">
      <c r="A329" s="22" t="n"/>
    </row>
    <row r="330">
      <c r="A330" s="22" t="n"/>
    </row>
    <row r="331">
      <c r="A331" s="22" t="n"/>
    </row>
    <row r="332">
      <c r="A332" s="22" t="n"/>
    </row>
    <row r="333">
      <c r="A333" s="22" t="n"/>
    </row>
    <row r="334">
      <c r="A334" s="22" t="n"/>
    </row>
    <row r="335">
      <c r="A335" s="22" t="n"/>
    </row>
    <row r="336">
      <c r="A336" s="22" t="n"/>
    </row>
    <row r="337">
      <c r="A337" s="22" t="n"/>
    </row>
    <row r="338">
      <c r="A338" s="22" t="n"/>
    </row>
    <row r="339">
      <c r="A339" s="22" t="n"/>
    </row>
    <row r="340">
      <c r="A340" s="22" t="n"/>
    </row>
    <row r="341">
      <c r="A341" s="22" t="n"/>
    </row>
    <row r="342">
      <c r="A342" s="22" t="n"/>
    </row>
    <row r="343">
      <c r="A343" s="22" t="n"/>
    </row>
    <row r="344">
      <c r="A344" s="22" t="n"/>
    </row>
    <row r="345">
      <c r="A345" s="22" t="n"/>
    </row>
    <row r="346">
      <c r="A346" s="22" t="n"/>
    </row>
    <row r="347">
      <c r="A347" s="22" t="n"/>
    </row>
    <row r="348">
      <c r="A348" s="22" t="n"/>
    </row>
    <row r="349">
      <c r="A349" s="22" t="n"/>
    </row>
    <row r="350">
      <c r="A350" s="22" t="n"/>
    </row>
    <row r="351">
      <c r="A351" s="22" t="n"/>
    </row>
    <row r="352">
      <c r="A352" s="22" t="n"/>
    </row>
    <row r="353">
      <c r="A353" s="22" t="n"/>
    </row>
    <row r="354">
      <c r="A354" s="22" t="n"/>
    </row>
    <row r="355">
      <c r="A355" s="22" t="n"/>
    </row>
    <row r="356">
      <c r="A356" s="22" t="n"/>
    </row>
    <row r="357">
      <c r="A357" s="22" t="n"/>
    </row>
    <row r="358">
      <c r="A358" s="22" t="n"/>
    </row>
    <row r="359">
      <c r="A359" s="22" t="n"/>
    </row>
    <row r="360">
      <c r="A360" s="22" t="n"/>
    </row>
    <row r="361">
      <c r="A361" s="22" t="n"/>
    </row>
    <row r="362">
      <c r="A362" s="22" t="n"/>
    </row>
    <row r="363">
      <c r="A363" s="22" t="n"/>
    </row>
    <row r="364">
      <c r="A364" s="22" t="n"/>
    </row>
    <row r="365">
      <c r="A365" s="22" t="n"/>
    </row>
    <row r="366">
      <c r="A366" s="22" t="n"/>
    </row>
    <row r="367">
      <c r="A367" s="22" t="n"/>
    </row>
    <row r="368">
      <c r="A368" s="22" t="n"/>
    </row>
    <row r="369">
      <c r="A369" s="22" t="n"/>
    </row>
    <row r="370">
      <c r="A370" s="22" t="n"/>
    </row>
    <row r="371">
      <c r="A371" s="22" t="n"/>
    </row>
    <row r="372">
      <c r="A372" s="22" t="n"/>
    </row>
    <row r="373">
      <c r="A373" s="22" t="n"/>
    </row>
    <row r="374">
      <c r="A374" s="22" t="n"/>
    </row>
    <row r="375">
      <c r="A375" s="22" t="n"/>
    </row>
    <row r="376">
      <c r="A376" s="22" t="n"/>
    </row>
    <row r="377">
      <c r="A377" s="22" t="n"/>
    </row>
    <row r="378">
      <c r="A378" s="22" t="n"/>
    </row>
    <row r="379">
      <c r="A379" s="22" t="n"/>
    </row>
    <row r="380">
      <c r="A380" s="22" t="n"/>
    </row>
    <row r="381">
      <c r="A381" s="22" t="n"/>
    </row>
    <row r="382">
      <c r="A382" s="22" t="n"/>
    </row>
    <row r="383">
      <c r="A383" s="22" t="n"/>
    </row>
    <row r="384">
      <c r="A384" s="22" t="n"/>
    </row>
    <row r="385">
      <c r="A385" s="22" t="n"/>
    </row>
    <row r="386">
      <c r="A386" s="22" t="n"/>
    </row>
    <row r="387">
      <c r="A387" s="22" t="n"/>
    </row>
    <row r="388">
      <c r="A388" s="22" t="n"/>
    </row>
    <row r="389">
      <c r="A389" s="22" t="n"/>
    </row>
    <row r="390">
      <c r="A390" s="22" t="n"/>
    </row>
    <row r="391">
      <c r="A391" s="22" t="n"/>
    </row>
    <row r="392">
      <c r="A392" s="22" t="n"/>
    </row>
    <row r="393">
      <c r="A393" s="22" t="n"/>
    </row>
    <row r="394">
      <c r="A394" s="22" t="n"/>
    </row>
    <row r="395">
      <c r="A395" s="22" t="n"/>
    </row>
    <row r="396">
      <c r="A396" s="22" t="n"/>
    </row>
    <row r="397">
      <c r="A397" s="22" t="n"/>
    </row>
    <row r="398">
      <c r="A398" s="22" t="n"/>
    </row>
    <row r="399">
      <c r="A399" s="22" t="n"/>
    </row>
    <row r="400">
      <c r="A400" s="22" t="n"/>
    </row>
    <row r="401">
      <c r="A401" s="22" t="n"/>
    </row>
    <row r="402">
      <c r="A402" s="22" t="n"/>
    </row>
    <row r="403">
      <c r="A403" s="22" t="n"/>
    </row>
    <row r="404">
      <c r="A404" s="22" t="n"/>
    </row>
    <row r="405">
      <c r="A405" s="22" t="n"/>
    </row>
    <row r="406">
      <c r="A406" s="22" t="n"/>
    </row>
    <row r="407">
      <c r="A407" s="22" t="n"/>
    </row>
    <row r="408">
      <c r="A408" s="22" t="n"/>
    </row>
    <row r="409">
      <c r="A409" s="22" t="n"/>
    </row>
    <row r="410">
      <c r="A410" s="22" t="n"/>
    </row>
    <row r="411">
      <c r="A411" s="22" t="n"/>
    </row>
    <row r="412">
      <c r="A412" s="22" t="n"/>
    </row>
    <row r="413">
      <c r="A413" s="22" t="n"/>
    </row>
    <row r="414">
      <c r="A414" s="22" t="n"/>
    </row>
    <row r="415">
      <c r="A415" s="22" t="n"/>
    </row>
    <row r="416">
      <c r="A416" s="22" t="n"/>
    </row>
    <row r="417">
      <c r="A417" s="22" t="n"/>
    </row>
    <row r="418">
      <c r="A418" s="22" t="n"/>
    </row>
    <row r="419">
      <c r="A419" s="22" t="n"/>
    </row>
    <row r="420">
      <c r="A420" s="22" t="n"/>
    </row>
    <row r="421">
      <c r="A421" s="22" t="n"/>
    </row>
    <row r="422">
      <c r="A422" s="22" t="n"/>
    </row>
    <row r="423">
      <c r="A423" s="22" t="n"/>
    </row>
    <row r="424">
      <c r="A424" s="22" t="n"/>
    </row>
    <row r="425">
      <c r="A425" s="22" t="n"/>
    </row>
    <row r="426">
      <c r="A426" s="22" t="n"/>
    </row>
    <row r="427">
      <c r="A427" s="22" t="n"/>
    </row>
    <row r="428">
      <c r="A428" s="22" t="n"/>
    </row>
    <row r="429">
      <c r="A429" s="22" t="n"/>
    </row>
    <row r="430">
      <c r="A430" s="22" t="n"/>
    </row>
    <row r="431">
      <c r="A431" s="22" t="n"/>
    </row>
    <row r="432">
      <c r="A432" s="22" t="n"/>
    </row>
    <row r="433">
      <c r="A433" s="22" t="n"/>
    </row>
    <row r="434">
      <c r="A434" s="22" t="n"/>
    </row>
    <row r="435">
      <c r="A435" s="22" t="n"/>
    </row>
    <row r="436">
      <c r="A436" s="22" t="n"/>
    </row>
    <row r="437">
      <c r="A437" s="22" t="n"/>
    </row>
    <row r="438">
      <c r="A438" s="22" t="n"/>
    </row>
    <row r="439">
      <c r="A439" s="22" t="n"/>
    </row>
    <row r="440">
      <c r="A440" s="22" t="n"/>
    </row>
    <row r="441">
      <c r="A441" s="22" t="n"/>
    </row>
    <row r="442">
      <c r="A442" s="22" t="n"/>
    </row>
    <row r="443">
      <c r="A443" s="22" t="n"/>
    </row>
    <row r="444">
      <c r="A444" s="22" t="n"/>
    </row>
    <row r="445">
      <c r="A445" s="22" t="n"/>
    </row>
    <row r="446">
      <c r="A446" s="22" t="n"/>
    </row>
    <row r="447">
      <c r="A447" s="22" t="n"/>
    </row>
    <row r="448">
      <c r="A448" s="22" t="n"/>
    </row>
    <row r="449">
      <c r="A449" s="22" t="n"/>
    </row>
    <row r="450">
      <c r="A450" s="22" t="n"/>
    </row>
    <row r="451">
      <c r="A451" s="22" t="n"/>
    </row>
    <row r="452">
      <c r="A452" s="22" t="n"/>
    </row>
    <row r="453">
      <c r="A453" s="22" t="n"/>
    </row>
    <row r="454">
      <c r="A454" s="22" t="n"/>
    </row>
    <row r="455">
      <c r="A455" s="22" t="n"/>
    </row>
    <row r="456">
      <c r="A456" s="22" t="n"/>
    </row>
    <row r="457">
      <c r="A457" s="22" t="n"/>
    </row>
    <row r="458">
      <c r="A458" s="22" t="n"/>
    </row>
    <row r="459">
      <c r="A459" s="22" t="n"/>
    </row>
    <row r="460">
      <c r="A460" s="22" t="n"/>
    </row>
    <row r="461">
      <c r="A461" s="22" t="n"/>
    </row>
    <row r="462">
      <c r="A462" s="22" t="n"/>
    </row>
    <row r="463">
      <c r="A463" s="22" t="n"/>
    </row>
    <row r="464">
      <c r="A464" s="22" t="n"/>
    </row>
    <row r="465">
      <c r="A465" s="22" t="n"/>
    </row>
    <row r="466">
      <c r="A466" s="22" t="n"/>
    </row>
    <row r="467">
      <c r="A467" s="22" t="n"/>
    </row>
    <row r="468">
      <c r="A468" s="22" t="n"/>
    </row>
    <row r="469">
      <c r="A469" s="22" t="n"/>
    </row>
    <row r="470">
      <c r="A470" s="22" t="n"/>
    </row>
    <row r="471">
      <c r="A471" s="22" t="n"/>
    </row>
    <row r="472">
      <c r="A472" s="22" t="n"/>
    </row>
    <row r="473">
      <c r="A473" s="22" t="n"/>
    </row>
    <row r="474">
      <c r="A474" s="22" t="n"/>
    </row>
    <row r="475">
      <c r="A475" s="22" t="n"/>
    </row>
    <row r="476">
      <c r="A476" s="22" t="n"/>
    </row>
    <row r="477">
      <c r="A477" s="22" t="n"/>
    </row>
    <row r="478">
      <c r="A478" s="22" t="n"/>
    </row>
    <row r="479">
      <c r="A479" s="22" t="n"/>
    </row>
    <row r="480">
      <c r="A480" s="22" t="n"/>
    </row>
    <row r="481">
      <c r="A481" s="22" t="n"/>
    </row>
    <row r="482">
      <c r="A482" s="22" t="n"/>
    </row>
    <row r="483">
      <c r="A483" s="22" t="n"/>
    </row>
    <row r="484">
      <c r="A484" s="22" t="n"/>
    </row>
    <row r="485">
      <c r="A485" s="22" t="n"/>
    </row>
    <row r="486">
      <c r="A486" s="22" t="n"/>
    </row>
    <row r="487">
      <c r="A487" s="22" t="n"/>
    </row>
    <row r="488">
      <c r="A488" s="22" t="n"/>
    </row>
    <row r="489">
      <c r="A489" s="22" t="n"/>
    </row>
    <row r="490">
      <c r="A490" s="22" t="n"/>
    </row>
    <row r="491">
      <c r="A491" s="22" t="n"/>
    </row>
    <row r="492">
      <c r="A492" s="22" t="n"/>
    </row>
    <row r="493">
      <c r="A493" s="22" t="n"/>
    </row>
    <row r="494">
      <c r="A494" s="22" t="n"/>
    </row>
    <row r="495">
      <c r="A495" s="22" t="n"/>
    </row>
    <row r="496">
      <c r="A496" s="22" t="n"/>
    </row>
    <row r="497">
      <c r="A497" s="22" t="n"/>
    </row>
    <row r="498">
      <c r="A498" s="22" t="n"/>
    </row>
    <row r="499">
      <c r="A499" s="22" t="n"/>
    </row>
    <row r="500">
      <c r="A500" s="22" t="n"/>
    </row>
    <row r="501">
      <c r="A501" s="22" t="n"/>
    </row>
    <row r="502">
      <c r="A502" s="22" t="n"/>
    </row>
    <row r="503">
      <c r="A503" s="22" t="n"/>
    </row>
    <row r="504">
      <c r="A504" s="22" t="n"/>
    </row>
    <row r="505">
      <c r="A505" s="22" t="n"/>
    </row>
    <row r="506">
      <c r="A506" s="22" t="n"/>
    </row>
    <row r="507">
      <c r="A507" s="22" t="n"/>
    </row>
    <row r="508">
      <c r="A508" s="22" t="n"/>
    </row>
    <row r="509">
      <c r="A509" s="22" t="n"/>
    </row>
    <row r="510">
      <c r="A510" s="22" t="n"/>
    </row>
    <row r="511">
      <c r="A511" s="22" t="n"/>
    </row>
    <row r="512">
      <c r="A512" s="22" t="n"/>
    </row>
    <row r="513">
      <c r="A513" s="22" t="n"/>
    </row>
    <row r="514">
      <c r="A514" s="22" t="n"/>
    </row>
    <row r="515">
      <c r="A515" s="22" t="n"/>
    </row>
    <row r="516">
      <c r="A516" s="22" t="n"/>
    </row>
    <row r="517">
      <c r="A517" s="22" t="n"/>
    </row>
    <row r="518">
      <c r="A518" s="22" t="n"/>
    </row>
    <row r="519">
      <c r="A519" s="22" t="n"/>
    </row>
    <row r="520">
      <c r="A520" s="22" t="n"/>
    </row>
    <row r="521">
      <c r="A521" s="22" t="n"/>
    </row>
    <row r="522">
      <c r="A522" s="22" t="n"/>
    </row>
    <row r="523">
      <c r="A523" s="22" t="n"/>
    </row>
    <row r="524">
      <c r="A524" s="22" t="n"/>
    </row>
    <row r="525">
      <c r="A525" s="22" t="n"/>
    </row>
    <row r="526">
      <c r="A526" s="22" t="n"/>
    </row>
    <row r="527">
      <c r="A527" s="22" t="n"/>
    </row>
    <row r="528">
      <c r="A528" s="22" t="n"/>
    </row>
    <row r="529">
      <c r="A529" s="22" t="n"/>
    </row>
    <row r="530">
      <c r="A530" s="22" t="n"/>
    </row>
    <row r="531">
      <c r="A531" s="22" t="n"/>
    </row>
    <row r="532">
      <c r="A532" s="22" t="n"/>
    </row>
    <row r="533">
      <c r="A533" s="22" t="n"/>
    </row>
    <row r="534">
      <c r="A534" s="22" t="n"/>
    </row>
    <row r="535">
      <c r="A535" s="22" t="n"/>
    </row>
    <row r="536">
      <c r="A536" s="22" t="n"/>
    </row>
    <row r="537">
      <c r="A537" s="22" t="n"/>
    </row>
    <row r="538">
      <c r="A538" s="22" t="n"/>
    </row>
    <row r="539">
      <c r="A539" s="22" t="n"/>
    </row>
    <row r="540">
      <c r="A540" s="22" t="n"/>
    </row>
    <row r="541">
      <c r="A541" s="22" t="n"/>
    </row>
    <row r="542">
      <c r="A542" s="22" t="n"/>
    </row>
    <row r="543">
      <c r="A543" s="22" t="n"/>
    </row>
    <row r="544">
      <c r="A544" s="22" t="n"/>
    </row>
    <row r="545">
      <c r="A545" s="22" t="n"/>
    </row>
    <row r="546">
      <c r="A546" s="22" t="n"/>
    </row>
    <row r="547">
      <c r="A547" s="22" t="n"/>
    </row>
    <row r="548">
      <c r="A548" s="22" t="n"/>
    </row>
    <row r="549">
      <c r="A549" s="22" t="n"/>
    </row>
    <row r="550">
      <c r="A550" s="22" t="n"/>
    </row>
    <row r="551">
      <c r="A551" s="22" t="n"/>
    </row>
    <row r="552">
      <c r="A552" s="22" t="n"/>
    </row>
    <row r="553">
      <c r="A553" s="22" t="n"/>
    </row>
    <row r="554">
      <c r="A554" s="22" t="n"/>
    </row>
    <row r="555">
      <c r="A555" s="22" t="n"/>
    </row>
    <row r="556">
      <c r="A556" s="22" t="n"/>
    </row>
    <row r="557">
      <c r="A557" s="22" t="n"/>
    </row>
    <row r="558">
      <c r="A558" s="22" t="n"/>
    </row>
    <row r="559">
      <c r="A559" s="22" t="n"/>
    </row>
    <row r="560">
      <c r="A560" s="22" t="n"/>
    </row>
    <row r="561">
      <c r="A561" s="22" t="n"/>
    </row>
    <row r="562">
      <c r="A562" s="22" t="n"/>
    </row>
    <row r="563">
      <c r="A563" s="22" t="n"/>
    </row>
    <row r="564">
      <c r="A564" s="22" t="n"/>
    </row>
    <row r="565">
      <c r="A565" s="22" t="n"/>
    </row>
    <row r="566">
      <c r="A566" s="22" t="n"/>
    </row>
    <row r="567">
      <c r="A567" s="22" t="n"/>
    </row>
    <row r="568">
      <c r="A568" s="22" t="n"/>
    </row>
    <row r="569">
      <c r="A569" s="22" t="n"/>
    </row>
    <row r="570">
      <c r="A570" s="22" t="n"/>
    </row>
    <row r="571">
      <c r="A571" s="22" t="n"/>
    </row>
    <row r="572">
      <c r="A572" s="22" t="n"/>
    </row>
    <row r="573">
      <c r="A573" s="22" t="n"/>
    </row>
    <row r="574">
      <c r="A574" s="22" t="n"/>
    </row>
    <row r="575">
      <c r="A575" s="22" t="n"/>
    </row>
    <row r="576">
      <c r="A576" s="22" t="n"/>
    </row>
    <row r="577">
      <c r="A577" s="22" t="n"/>
    </row>
    <row r="578">
      <c r="A578" s="22" t="n"/>
    </row>
    <row r="579">
      <c r="A579" s="22" t="n"/>
    </row>
    <row r="580">
      <c r="A580" s="22" t="n"/>
    </row>
    <row r="581">
      <c r="A581" s="22" t="n"/>
    </row>
    <row r="582">
      <c r="A582" s="22" t="n"/>
    </row>
    <row r="583">
      <c r="A583" s="22" t="n"/>
    </row>
    <row r="584">
      <c r="A584" s="22" t="n"/>
    </row>
    <row r="585">
      <c r="A585" s="22" t="n"/>
    </row>
    <row r="586">
      <c r="A586" s="22" t="n"/>
    </row>
    <row r="587">
      <c r="A587" s="22" t="n"/>
    </row>
    <row r="588">
      <c r="A588" s="22" t="n"/>
    </row>
    <row r="589">
      <c r="A589" s="22" t="n"/>
    </row>
    <row r="590">
      <c r="A590" s="22" t="n"/>
    </row>
    <row r="591">
      <c r="A591" s="22" t="n"/>
    </row>
    <row r="592">
      <c r="A592" s="22" t="n"/>
    </row>
    <row r="593">
      <c r="A593" s="22" t="n"/>
    </row>
    <row r="594">
      <c r="A594" s="22" t="n"/>
    </row>
    <row r="595">
      <c r="A595" s="22" t="n"/>
    </row>
    <row r="596">
      <c r="A596" s="22" t="n"/>
    </row>
    <row r="597">
      <c r="A597" s="22" t="n"/>
    </row>
    <row r="598">
      <c r="A598" s="22" t="n"/>
    </row>
    <row r="599">
      <c r="A599" s="22" t="n"/>
    </row>
    <row r="600">
      <c r="A600" s="22" t="n"/>
    </row>
    <row r="601">
      <c r="A601" s="22" t="n"/>
    </row>
    <row r="602">
      <c r="A602" s="22" t="n"/>
    </row>
    <row r="603">
      <c r="A603" s="22" t="n"/>
    </row>
    <row r="604">
      <c r="A604" s="22" t="n"/>
    </row>
    <row r="605">
      <c r="A605" s="22" t="n"/>
    </row>
    <row r="606">
      <c r="A606" s="22" t="n"/>
    </row>
    <row r="607">
      <c r="A607" s="22" t="n"/>
    </row>
    <row r="608">
      <c r="A608" s="22" t="n"/>
    </row>
    <row r="609">
      <c r="A609" s="22" t="n"/>
    </row>
    <row r="610">
      <c r="A610" s="22" t="n"/>
    </row>
    <row r="611">
      <c r="A611" s="22" t="n"/>
    </row>
    <row r="612">
      <c r="A612" s="22" t="n"/>
    </row>
    <row r="613">
      <c r="A613" s="22" t="n"/>
    </row>
    <row r="614">
      <c r="A614" s="22" t="n"/>
    </row>
    <row r="615">
      <c r="A615" s="22" t="n"/>
    </row>
    <row r="616">
      <c r="A616" s="22" t="n"/>
    </row>
    <row r="617">
      <c r="A617" s="22" t="n"/>
    </row>
    <row r="618">
      <c r="A618" s="22" t="n"/>
    </row>
    <row r="619">
      <c r="A619" s="22" t="n"/>
    </row>
    <row r="620">
      <c r="A620" s="22" t="n"/>
    </row>
    <row r="621">
      <c r="A621" s="22" t="n"/>
    </row>
    <row r="622">
      <c r="A622" s="22" t="n"/>
    </row>
    <row r="623">
      <c r="A623" s="22" t="n"/>
    </row>
    <row r="624">
      <c r="A624" s="22" t="n"/>
    </row>
    <row r="625">
      <c r="A625" s="22" t="n"/>
    </row>
    <row r="626">
      <c r="A626" s="22" t="n"/>
    </row>
    <row r="627">
      <c r="A627" s="22" t="n"/>
    </row>
    <row r="628">
      <c r="A628" s="22" t="n"/>
    </row>
    <row r="629">
      <c r="A629" s="22" t="n"/>
    </row>
    <row r="630">
      <c r="A630" s="22" t="n"/>
    </row>
    <row r="631">
      <c r="A631" s="22" t="n"/>
    </row>
    <row r="632">
      <c r="A632" s="22" t="n"/>
    </row>
    <row r="633">
      <c r="A633" s="22" t="n"/>
    </row>
    <row r="634">
      <c r="A634" s="22" t="n"/>
    </row>
    <row r="635">
      <c r="A635" s="22" t="n"/>
    </row>
    <row r="636">
      <c r="A636" s="22" t="n"/>
    </row>
    <row r="637">
      <c r="A637" s="22" t="n"/>
    </row>
    <row r="638">
      <c r="A638" s="22" t="n"/>
    </row>
    <row r="639">
      <c r="A639" s="22" t="n"/>
    </row>
    <row r="640">
      <c r="A640" s="22" t="n"/>
    </row>
    <row r="641">
      <c r="A641" s="22" t="n"/>
    </row>
    <row r="642">
      <c r="A642" s="22" t="n"/>
    </row>
    <row r="643">
      <c r="A643" s="22" t="n"/>
    </row>
    <row r="644">
      <c r="A644" s="22" t="n"/>
    </row>
    <row r="645">
      <c r="A645" s="22" t="n"/>
    </row>
    <row r="646">
      <c r="A646" s="22" t="n"/>
    </row>
    <row r="647">
      <c r="A647" s="22" t="n"/>
    </row>
    <row r="648">
      <c r="A648" s="22" t="n"/>
    </row>
    <row r="649">
      <c r="A649" s="22" t="n"/>
    </row>
    <row r="650">
      <c r="A650" s="22" t="n"/>
    </row>
    <row r="651">
      <c r="A651" s="22" t="n"/>
    </row>
    <row r="652">
      <c r="A652" s="22" t="n"/>
    </row>
    <row r="653">
      <c r="A653" s="22" t="n"/>
    </row>
    <row r="654">
      <c r="A654" s="22" t="n"/>
    </row>
    <row r="655">
      <c r="A655" s="22" t="n"/>
    </row>
    <row r="656">
      <c r="A656" s="22" t="n"/>
    </row>
    <row r="657">
      <c r="A657" s="22" t="n"/>
    </row>
    <row r="658">
      <c r="A658" s="22" t="n"/>
    </row>
    <row r="659">
      <c r="A659" s="22" t="n"/>
    </row>
    <row r="660">
      <c r="A660" s="22" t="n"/>
    </row>
    <row r="661">
      <c r="A661" s="22" t="n"/>
    </row>
    <row r="662">
      <c r="A662" s="22" t="n"/>
    </row>
    <row r="663">
      <c r="A663" s="22" t="n"/>
    </row>
    <row r="664">
      <c r="A664" s="22" t="n"/>
    </row>
    <row r="665">
      <c r="A665" s="22" t="n"/>
    </row>
    <row r="666">
      <c r="A666" s="22" t="n"/>
    </row>
    <row r="667">
      <c r="A667" s="22" t="n"/>
    </row>
    <row r="668">
      <c r="A668" s="22" t="n"/>
    </row>
    <row r="669">
      <c r="A669" s="22" t="n"/>
    </row>
    <row r="670">
      <c r="A670" s="22" t="n"/>
    </row>
    <row r="671">
      <c r="A671" s="22" t="n"/>
    </row>
    <row r="672">
      <c r="A672" s="22" t="n"/>
    </row>
    <row r="673">
      <c r="A673" s="22" t="n"/>
    </row>
    <row r="674">
      <c r="A674" s="22" t="n"/>
    </row>
    <row r="675">
      <c r="A675" s="22" t="n"/>
    </row>
    <row r="676">
      <c r="A676" s="22" t="n"/>
    </row>
    <row r="677">
      <c r="A677" s="22" t="n"/>
    </row>
    <row r="678">
      <c r="A678" s="22" t="n"/>
    </row>
    <row r="679">
      <c r="A679" s="22" t="n"/>
    </row>
    <row r="680">
      <c r="A680" s="22" t="n"/>
    </row>
    <row r="681">
      <c r="A681" s="22" t="n"/>
    </row>
    <row r="682">
      <c r="A682" s="22" t="n"/>
    </row>
    <row r="683">
      <c r="A683" s="22" t="n"/>
    </row>
    <row r="684">
      <c r="A684" s="22" t="n"/>
    </row>
    <row r="685">
      <c r="A685" s="22" t="n"/>
    </row>
    <row r="686">
      <c r="A686" s="22" t="n"/>
    </row>
    <row r="687">
      <c r="A687" s="22" t="n"/>
    </row>
    <row r="688">
      <c r="A688" s="22" t="n"/>
    </row>
    <row r="689">
      <c r="A689" s="22" t="n"/>
    </row>
    <row r="690">
      <c r="A690" s="22" t="n"/>
    </row>
    <row r="691">
      <c r="A691" s="22" t="n"/>
    </row>
    <row r="692">
      <c r="A692" s="22" t="n"/>
    </row>
    <row r="693">
      <c r="A693" s="22" t="n"/>
    </row>
    <row r="694">
      <c r="A694" s="22" t="n"/>
    </row>
    <row r="695">
      <c r="A695" s="22" t="n"/>
    </row>
    <row r="696">
      <c r="A696" s="22" t="n"/>
    </row>
    <row r="697">
      <c r="A697" s="22" t="n"/>
    </row>
    <row r="698">
      <c r="A698" s="22" t="n"/>
    </row>
    <row r="699">
      <c r="A699" s="22" t="n"/>
    </row>
    <row r="700">
      <c r="A700" s="22" t="n"/>
    </row>
    <row r="701">
      <c r="A701" s="22" t="n"/>
    </row>
    <row r="702">
      <c r="A702" s="22" t="n"/>
    </row>
    <row r="703">
      <c r="A703" s="22" t="n"/>
    </row>
    <row r="704">
      <c r="A704" s="22" t="n"/>
    </row>
    <row r="705">
      <c r="A705" s="22" t="n"/>
    </row>
    <row r="706">
      <c r="A706" s="22" t="n"/>
    </row>
    <row r="707">
      <c r="A707" s="22" t="n"/>
    </row>
    <row r="708">
      <c r="A708" s="22" t="n"/>
    </row>
    <row r="709">
      <c r="A709" s="22" t="n"/>
    </row>
    <row r="710">
      <c r="A710" s="22" t="n"/>
    </row>
    <row r="711">
      <c r="A711" s="22" t="n"/>
    </row>
    <row r="712">
      <c r="A712" s="22" t="n"/>
    </row>
    <row r="713">
      <c r="A713" s="22" t="n"/>
    </row>
    <row r="714">
      <c r="A714" s="22" t="n"/>
    </row>
    <row r="715">
      <c r="A715" s="22" t="n"/>
    </row>
    <row r="716">
      <c r="A716" s="22" t="n"/>
    </row>
    <row r="717">
      <c r="A717" s="22" t="n"/>
    </row>
    <row r="718">
      <c r="A718" s="22" t="n"/>
    </row>
    <row r="719">
      <c r="A719" s="22" t="n"/>
    </row>
    <row r="720">
      <c r="A720" s="22" t="n"/>
    </row>
    <row r="721">
      <c r="A721" s="22" t="n"/>
    </row>
    <row r="722">
      <c r="A722" s="22" t="n"/>
    </row>
    <row r="723">
      <c r="A723" s="22" t="n"/>
    </row>
    <row r="724">
      <c r="A724" s="22" t="n"/>
    </row>
    <row r="725">
      <c r="A725" s="22" t="n"/>
    </row>
    <row r="726">
      <c r="A726" s="22" t="n"/>
    </row>
    <row r="727">
      <c r="A727" s="22" t="n"/>
    </row>
    <row r="728">
      <c r="A728" s="22" t="n"/>
    </row>
    <row r="729">
      <c r="A729" s="22" t="n"/>
    </row>
    <row r="730">
      <c r="A730" s="22" t="n"/>
    </row>
    <row r="731">
      <c r="A731" s="22" t="n"/>
    </row>
    <row r="732">
      <c r="A732" s="22" t="n"/>
    </row>
    <row r="733">
      <c r="A733" s="22" t="n"/>
    </row>
    <row r="734">
      <c r="A734" s="22" t="n"/>
    </row>
    <row r="735">
      <c r="A735" s="22" t="n"/>
    </row>
    <row r="736">
      <c r="A736" s="22" t="n"/>
    </row>
    <row r="737">
      <c r="A737" s="22" t="n"/>
    </row>
    <row r="738">
      <c r="A738" s="22" t="n"/>
    </row>
    <row r="739">
      <c r="A739" s="22" t="n"/>
    </row>
    <row r="740">
      <c r="A740" s="22" t="n"/>
    </row>
    <row r="741">
      <c r="A741" s="22" t="n"/>
    </row>
    <row r="742">
      <c r="A742" s="22" t="n"/>
    </row>
    <row r="743">
      <c r="A743" s="22" t="n"/>
    </row>
    <row r="744">
      <c r="A744" s="22" t="n"/>
    </row>
    <row r="745">
      <c r="A745" s="22" t="n"/>
    </row>
    <row r="746">
      <c r="A746" s="22" t="n"/>
    </row>
    <row r="747">
      <c r="A747" s="22" t="n"/>
    </row>
    <row r="748">
      <c r="A748" s="22" t="n"/>
    </row>
    <row r="749">
      <c r="A749" s="22" t="n"/>
    </row>
    <row r="750">
      <c r="A750" s="22" t="n"/>
    </row>
    <row r="751">
      <c r="A751" s="22" t="n"/>
    </row>
    <row r="752">
      <c r="A752" s="22" t="n"/>
    </row>
    <row r="753">
      <c r="A753" s="22" t="n"/>
    </row>
    <row r="754">
      <c r="A754" s="22" t="n"/>
    </row>
    <row r="755">
      <c r="A755" s="22" t="n"/>
    </row>
    <row r="756">
      <c r="A756" s="22" t="n"/>
    </row>
    <row r="757">
      <c r="A757" s="22" t="n"/>
    </row>
    <row r="758">
      <c r="A758" s="22" t="n"/>
    </row>
    <row r="759">
      <c r="A759" s="22" t="n"/>
    </row>
    <row r="760">
      <c r="A760" s="22" t="n"/>
    </row>
    <row r="761">
      <c r="A761" s="22" t="n"/>
    </row>
    <row r="762">
      <c r="A762" s="22" t="n"/>
    </row>
    <row r="763">
      <c r="A763" s="22" t="n"/>
    </row>
    <row r="764">
      <c r="A764" s="22" t="n"/>
    </row>
    <row r="765">
      <c r="A765" s="22" t="n"/>
    </row>
    <row r="766">
      <c r="A766" s="22" t="n"/>
    </row>
    <row r="767">
      <c r="A767" s="22" t="n"/>
    </row>
    <row r="768">
      <c r="A768" s="22" t="n"/>
    </row>
    <row r="769">
      <c r="A769" s="22" t="n"/>
    </row>
    <row r="770">
      <c r="A770" s="22" t="n"/>
    </row>
    <row r="771">
      <c r="A771" s="22" t="n"/>
    </row>
    <row r="772">
      <c r="A772" s="22" t="n"/>
    </row>
    <row r="773">
      <c r="A773" s="22" t="n"/>
    </row>
    <row r="774">
      <c r="A774" s="22" t="n"/>
    </row>
    <row r="775">
      <c r="A775" s="22" t="n"/>
    </row>
    <row r="776">
      <c r="A776" s="22" t="n"/>
    </row>
    <row r="777">
      <c r="A777" s="22" t="n"/>
    </row>
    <row r="778">
      <c r="A778" s="22" t="n"/>
    </row>
    <row r="779">
      <c r="A779" s="22" t="n"/>
    </row>
    <row r="780">
      <c r="A780" s="22" t="n"/>
    </row>
    <row r="781">
      <c r="A781" s="22" t="n"/>
    </row>
    <row r="782">
      <c r="A782" s="22" t="n"/>
    </row>
    <row r="783">
      <c r="A783" s="22" t="n"/>
    </row>
    <row r="784">
      <c r="A784" s="22" t="n"/>
    </row>
    <row r="785">
      <c r="A785" s="22" t="n"/>
    </row>
    <row r="786">
      <c r="A786" s="22" t="n"/>
    </row>
    <row r="787">
      <c r="A787" s="22" t="n"/>
    </row>
    <row r="788">
      <c r="A788" s="22" t="n"/>
    </row>
    <row r="789">
      <c r="A789" s="22" t="n"/>
    </row>
    <row r="790">
      <c r="A790" s="22" t="n"/>
    </row>
    <row r="791">
      <c r="A791" s="22" t="n"/>
    </row>
    <row r="792">
      <c r="A792" s="22" t="n"/>
    </row>
    <row r="793">
      <c r="A793" s="22" t="n"/>
    </row>
    <row r="794">
      <c r="A794" s="22" t="n"/>
    </row>
    <row r="795">
      <c r="A795" s="22" t="n"/>
    </row>
    <row r="796">
      <c r="A796" s="22" t="n"/>
    </row>
    <row r="797">
      <c r="A797" s="22" t="n"/>
    </row>
    <row r="798">
      <c r="A798" s="22" t="n"/>
    </row>
    <row r="799">
      <c r="A799" s="22" t="n"/>
    </row>
    <row r="800">
      <c r="A800" s="22" t="n"/>
    </row>
    <row r="801">
      <c r="A801" s="22" t="n"/>
    </row>
    <row r="802">
      <c r="A802" s="22" t="n"/>
    </row>
    <row r="803">
      <c r="A803" s="22" t="n"/>
    </row>
    <row r="804">
      <c r="A804" s="22" t="n"/>
    </row>
    <row r="805">
      <c r="A805" s="22" t="n"/>
    </row>
    <row r="806">
      <c r="A806" s="22" t="n"/>
    </row>
    <row r="807">
      <c r="A807" s="22" t="n"/>
    </row>
    <row r="808">
      <c r="A808" s="22" t="n"/>
    </row>
    <row r="809">
      <c r="A809" s="22" t="n"/>
    </row>
    <row r="810">
      <c r="A810" s="22" t="n"/>
    </row>
    <row r="811">
      <c r="A811" s="22" t="n"/>
    </row>
    <row r="812">
      <c r="A812" s="22" t="n"/>
    </row>
    <row r="813">
      <c r="A813" s="22" t="n"/>
    </row>
    <row r="814">
      <c r="A814" s="22" t="n"/>
    </row>
    <row r="815">
      <c r="A815" s="22" t="n"/>
    </row>
    <row r="816">
      <c r="A816" s="22" t="n"/>
    </row>
    <row r="817">
      <c r="A817" s="22" t="n"/>
    </row>
    <row r="818">
      <c r="A818" s="22" t="n"/>
    </row>
    <row r="819">
      <c r="A819" s="22" t="n"/>
    </row>
    <row r="820">
      <c r="A820" s="22" t="n"/>
    </row>
    <row r="821">
      <c r="A821" s="22" t="n"/>
    </row>
    <row r="822">
      <c r="A822" s="22" t="n"/>
    </row>
    <row r="823">
      <c r="A823" s="22" t="n"/>
    </row>
    <row r="824">
      <c r="A824" s="22" t="n"/>
    </row>
    <row r="825">
      <c r="A825" s="22" t="n"/>
    </row>
    <row r="826">
      <c r="A826" s="22" t="n"/>
    </row>
    <row r="827">
      <c r="A827" s="22" t="n"/>
    </row>
    <row r="828">
      <c r="A828" s="22" t="n"/>
    </row>
    <row r="829">
      <c r="A829" s="22" t="n"/>
    </row>
    <row r="830">
      <c r="A830" s="22" t="n"/>
    </row>
    <row r="831">
      <c r="A831" s="22" t="n"/>
    </row>
    <row r="832">
      <c r="A832" s="22" t="n"/>
    </row>
    <row r="833">
      <c r="A833" s="22" t="n"/>
    </row>
    <row r="834">
      <c r="A834" s="22" t="n"/>
    </row>
    <row r="835">
      <c r="A835" s="22" t="n"/>
    </row>
    <row r="836">
      <c r="A836" s="22" t="n"/>
    </row>
    <row r="837">
      <c r="A837" s="22" t="n"/>
    </row>
    <row r="838">
      <c r="A838" s="22" t="n"/>
    </row>
    <row r="839">
      <c r="A839" s="22" t="n"/>
    </row>
    <row r="840">
      <c r="A840" s="22" t="n"/>
    </row>
    <row r="841">
      <c r="A841" s="22" t="n"/>
    </row>
    <row r="842">
      <c r="A842" s="22" t="n"/>
    </row>
    <row r="843">
      <c r="A843" s="22" t="n"/>
    </row>
    <row r="844">
      <c r="A844" s="22" t="n"/>
    </row>
    <row r="845">
      <c r="A845" s="22" t="n"/>
    </row>
    <row r="846">
      <c r="A846" s="22" t="n"/>
    </row>
    <row r="847">
      <c r="A847" s="22" t="n"/>
    </row>
    <row r="848">
      <c r="A848" s="22" t="n"/>
    </row>
    <row r="849">
      <c r="A849" s="22" t="n"/>
    </row>
    <row r="850">
      <c r="A850" s="22" t="n"/>
    </row>
    <row r="851">
      <c r="A851" s="22" t="n"/>
    </row>
    <row r="852">
      <c r="A852" s="22" t="n"/>
    </row>
    <row r="853">
      <c r="A853" s="22" t="n"/>
    </row>
    <row r="854">
      <c r="A854" s="22" t="n"/>
    </row>
    <row r="855">
      <c r="A855" s="22" t="n"/>
    </row>
    <row r="856">
      <c r="A856" s="22" t="n"/>
    </row>
    <row r="857">
      <c r="A857" s="22" t="n"/>
    </row>
    <row r="858">
      <c r="A858" s="22" t="n"/>
    </row>
    <row r="859">
      <c r="A859" s="22" t="n"/>
    </row>
    <row r="860">
      <c r="A860" s="22" t="n"/>
    </row>
    <row r="861">
      <c r="A861" s="22" t="n"/>
    </row>
    <row r="862">
      <c r="A862" s="22" t="n"/>
    </row>
    <row r="863">
      <c r="A863" s="22" t="n"/>
    </row>
    <row r="864">
      <c r="A864" s="22" t="n"/>
    </row>
    <row r="865">
      <c r="A865" s="22" t="n"/>
    </row>
    <row r="866">
      <c r="A866" s="22" t="n"/>
    </row>
    <row r="867">
      <c r="A867" s="22" t="n"/>
    </row>
    <row r="868">
      <c r="A868" s="22" t="n"/>
    </row>
    <row r="869">
      <c r="A869" s="22" t="n"/>
    </row>
    <row r="870">
      <c r="A870" s="22" t="n"/>
    </row>
    <row r="871">
      <c r="A871" s="22" t="n"/>
    </row>
    <row r="872">
      <c r="A872" s="22" t="n"/>
    </row>
    <row r="873">
      <c r="A873" s="22" t="n"/>
    </row>
    <row r="874">
      <c r="A874" s="22" t="n"/>
    </row>
    <row r="875">
      <c r="A875" s="22" t="n"/>
    </row>
    <row r="876">
      <c r="A876" s="22" t="n"/>
    </row>
    <row r="877">
      <c r="A877" s="22" t="n"/>
    </row>
    <row r="878">
      <c r="A878" s="22" t="n"/>
    </row>
    <row r="879">
      <c r="A879" s="22" t="n"/>
    </row>
    <row r="880">
      <c r="A880" s="22" t="n"/>
    </row>
    <row r="881">
      <c r="A881" s="22" t="n"/>
    </row>
    <row r="882">
      <c r="A882" s="22" t="n"/>
    </row>
    <row r="883">
      <c r="A883" s="22" t="n"/>
    </row>
    <row r="884">
      <c r="A884" s="22" t="n"/>
    </row>
    <row r="885">
      <c r="A885" s="22" t="n"/>
    </row>
    <row r="886">
      <c r="A886" s="22" t="n"/>
    </row>
    <row r="887">
      <c r="A887" s="22" t="n"/>
    </row>
    <row r="888">
      <c r="A888" s="22" t="n"/>
    </row>
    <row r="889">
      <c r="A889" s="22" t="n"/>
    </row>
    <row r="890">
      <c r="A890" s="22" t="n"/>
    </row>
    <row r="891">
      <c r="A891" s="22" t="n"/>
    </row>
    <row r="892">
      <c r="A892" s="22" t="n"/>
    </row>
    <row r="893">
      <c r="A893" s="22" t="n"/>
    </row>
    <row r="894">
      <c r="A894" s="22" t="n"/>
    </row>
    <row r="895">
      <c r="A895" s="22" t="n"/>
    </row>
    <row r="896">
      <c r="A896" s="22" t="n"/>
    </row>
    <row r="897">
      <c r="A897" s="22" t="n"/>
    </row>
    <row r="898">
      <c r="A898" s="22" t="n"/>
    </row>
    <row r="899">
      <c r="A899" s="22" t="n"/>
    </row>
    <row r="900">
      <c r="A900" s="22" t="n"/>
    </row>
    <row r="901">
      <c r="A901" s="22" t="n"/>
    </row>
    <row r="902">
      <c r="A902" s="22" t="n"/>
    </row>
    <row r="903">
      <c r="A903" s="22" t="n"/>
    </row>
    <row r="904">
      <c r="A904" s="22" t="n"/>
    </row>
    <row r="905">
      <c r="A905" s="22" t="n"/>
    </row>
    <row r="906">
      <c r="A906" s="22" t="n"/>
    </row>
    <row r="907">
      <c r="A907" s="22" t="n"/>
    </row>
    <row r="908">
      <c r="A908" s="22" t="n"/>
    </row>
    <row r="909">
      <c r="A909" s="22" t="n"/>
    </row>
    <row r="910">
      <c r="A910" s="22" t="n"/>
    </row>
    <row r="911">
      <c r="A911" s="22" t="n"/>
    </row>
    <row r="912">
      <c r="A912" s="22" t="n"/>
    </row>
    <row r="913">
      <c r="A913" s="22" t="n"/>
    </row>
    <row r="914">
      <c r="A914" s="22" t="n"/>
    </row>
    <row r="915">
      <c r="A915" s="22" t="n"/>
    </row>
    <row r="916">
      <c r="A916" s="22" t="n"/>
    </row>
    <row r="917">
      <c r="A917" s="22" t="n"/>
    </row>
    <row r="918">
      <c r="A918" s="22" t="n"/>
    </row>
    <row r="919">
      <c r="A919" s="22" t="n"/>
    </row>
    <row r="920">
      <c r="A920" s="22" t="n"/>
    </row>
    <row r="921">
      <c r="A921" s="22" t="n"/>
    </row>
    <row r="922">
      <c r="A922" s="22" t="n"/>
    </row>
    <row r="923">
      <c r="A923" s="22" t="n"/>
    </row>
    <row r="924">
      <c r="A924" s="22" t="n"/>
    </row>
    <row r="925">
      <c r="A925" s="22" t="n"/>
    </row>
    <row r="926">
      <c r="A926" s="22" t="n"/>
    </row>
    <row r="927">
      <c r="A927" s="22" t="n"/>
    </row>
    <row r="928">
      <c r="A928" s="22" t="n"/>
    </row>
    <row r="929">
      <c r="A929" s="22" t="n"/>
    </row>
    <row r="930">
      <c r="A930" s="22" t="n"/>
    </row>
    <row r="931">
      <c r="A931" s="22" t="n"/>
    </row>
    <row r="932">
      <c r="A932" s="22" t="n"/>
    </row>
    <row r="933">
      <c r="A933" s="22" t="n"/>
    </row>
    <row r="934">
      <c r="A934" s="22" t="n"/>
    </row>
    <row r="935">
      <c r="A935" s="22" t="n"/>
    </row>
    <row r="936">
      <c r="A936" s="22" t="n"/>
    </row>
    <row r="937">
      <c r="A937" s="22" t="n"/>
    </row>
    <row r="938">
      <c r="A938" s="22" t="n"/>
    </row>
    <row r="939">
      <c r="A939" s="22" t="n"/>
    </row>
    <row r="940">
      <c r="A940" s="22" t="n"/>
    </row>
    <row r="941">
      <c r="A941" s="22" t="n"/>
    </row>
    <row r="942">
      <c r="A942" s="22" t="n"/>
    </row>
    <row r="943">
      <c r="A943" s="22" t="n"/>
    </row>
    <row r="944">
      <c r="A944" s="22" t="n"/>
    </row>
    <row r="945">
      <c r="A945" s="22" t="n"/>
    </row>
    <row r="946">
      <c r="A946" s="22" t="n"/>
    </row>
    <row r="947">
      <c r="A947" s="22" t="n"/>
    </row>
    <row r="948">
      <c r="A948" s="22" t="n"/>
    </row>
    <row r="949">
      <c r="A949" s="22" t="n"/>
    </row>
    <row r="950">
      <c r="A950" s="22" t="n"/>
    </row>
    <row r="951">
      <c r="A951" s="22" t="n"/>
    </row>
    <row r="952">
      <c r="A952" s="22" t="n"/>
    </row>
    <row r="953">
      <c r="A953" s="22" t="n"/>
    </row>
    <row r="954">
      <c r="A954" s="22" t="n"/>
    </row>
    <row r="955">
      <c r="A955" s="22" t="n"/>
    </row>
    <row r="956">
      <c r="A956" s="22" t="n"/>
    </row>
    <row r="957">
      <c r="A957" s="22" t="n"/>
    </row>
    <row r="958">
      <c r="A958" s="22" t="n"/>
    </row>
    <row r="959">
      <c r="A959" s="22" t="n"/>
    </row>
    <row r="960">
      <c r="A960" s="22" t="n"/>
    </row>
    <row r="961">
      <c r="A961" s="22" t="n"/>
    </row>
    <row r="962">
      <c r="A962" s="22" t="n"/>
    </row>
    <row r="963">
      <c r="A963" s="22" t="n"/>
    </row>
    <row r="964">
      <c r="A964" s="22" t="n"/>
    </row>
    <row r="965">
      <c r="A965" s="22" t="n"/>
    </row>
    <row r="966">
      <c r="A966" s="22" t="n"/>
    </row>
    <row r="967">
      <c r="A967" s="22" t="n"/>
    </row>
    <row r="968">
      <c r="A968" s="22" t="n"/>
    </row>
    <row r="969">
      <c r="A969" s="22" t="n"/>
    </row>
    <row r="970">
      <c r="A970" s="22" t="n"/>
    </row>
    <row r="971">
      <c r="A971" s="22" t="n"/>
    </row>
    <row r="972">
      <c r="A972" s="22" t="n"/>
    </row>
    <row r="973">
      <c r="A973" s="22" t="n"/>
    </row>
    <row r="974">
      <c r="A974" s="22" t="n"/>
    </row>
    <row r="975">
      <c r="A975" s="22" t="n"/>
    </row>
    <row r="976">
      <c r="A976" s="22" t="n"/>
    </row>
    <row r="977">
      <c r="A977" s="22" t="n"/>
    </row>
    <row r="978">
      <c r="A978" s="22" t="n"/>
    </row>
    <row r="979">
      <c r="A979" s="22" t="n"/>
    </row>
    <row r="980">
      <c r="A980" s="22" t="n"/>
    </row>
    <row r="981">
      <c r="A981" s="22" t="n"/>
    </row>
    <row r="982">
      <c r="A982" s="22" t="n"/>
    </row>
    <row r="983">
      <c r="A983" s="22" t="n"/>
    </row>
    <row r="984">
      <c r="A984" s="22" t="n"/>
    </row>
    <row r="985">
      <c r="A985" s="22" t="n"/>
    </row>
    <row r="986">
      <c r="A986" s="22" t="n"/>
    </row>
    <row r="987">
      <c r="A987" s="22" t="n"/>
    </row>
    <row r="988">
      <c r="A988" s="22" t="n"/>
    </row>
    <row r="989">
      <c r="A989" s="22" t="n"/>
    </row>
    <row r="990">
      <c r="A990" s="22" t="n"/>
    </row>
    <row r="991">
      <c r="A991" s="22" t="n"/>
    </row>
    <row r="992">
      <c r="A992" s="22" t="n"/>
    </row>
    <row r="993">
      <c r="A993" s="22" t="n"/>
    </row>
    <row r="994">
      <c r="A994" s="22" t="n"/>
    </row>
  </sheetData>
  <dataValidations count="1">
    <dataValidation sqref="A8:A994 B2" showDropDown="1" showInputMessage="0" showErrorMessage="1" allowBlank="1" type="list">
      <formula1>'ข้อมูลยา ห้ามแก้ไข'!$A$2:$A994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Z99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6.63" customWidth="1" style="56" min="1" max="1"/>
    <col width="16.5" customWidth="1" style="56" min="2" max="2"/>
    <col width="14.13" customWidth="1" style="56" min="3" max="3"/>
    <col width="11.38" customWidth="1" style="56" min="4" max="4"/>
    <col width="18.63" customWidth="1" style="56" min="5" max="5"/>
    <col width="34" customWidth="1" style="56" min="6" max="6"/>
    <col width="29.25" customWidth="1" style="56" min="7" max="7"/>
    <col width="31.75" customWidth="1" style="56" min="8" max="8"/>
  </cols>
  <sheetData>
    <row r="1" ht="75" customHeight="1" s="56">
      <c r="A1" s="23" t="inlineStr">
        <is>
          <t>รายการยา</t>
        </is>
      </c>
      <c r="B1" s="24" t="inlineStr">
        <is>
          <t>ปริมาณตัวทำละลายผงยา</t>
        </is>
      </c>
      <c r="C1" s="25" t="inlineStr">
        <is>
          <t>total volume</t>
        </is>
      </c>
      <c r="D1" s="24" t="inlineStr">
        <is>
          <t>conc (mg/ml)</t>
        </is>
      </c>
      <c r="E1" s="24" t="inlineStr">
        <is>
          <t>สารน้ำที่ใช้เจือจาง</t>
        </is>
      </c>
      <c r="F1" s="24" t="inlineStr">
        <is>
          <t>administration conc.</t>
        </is>
      </c>
      <c r="G1" s="24" t="inlineStr">
        <is>
          <t>administration rate</t>
        </is>
      </c>
      <c r="H1" s="24" t="inlineStr">
        <is>
          <t>หมายเหตุ*</t>
        </is>
      </c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</row>
    <row r="2">
      <c r="A2" s="27">
        <f>'ข้อมูลยา ห้ามแก้ไข'!A2</f>
        <v/>
      </c>
      <c r="B2" s="28">
        <f t="array" ref="B2">XLOOKUP(A2,'ข้อมูลยา ห้ามแก้ไข'!$A$2:$A994,'ข้อมูลยา ห้ามแก้ไข'!$B$2:$B994,"not found")</f>
        <v/>
      </c>
      <c r="C2" s="28">
        <f t="array" ref="C2">XLOOKUP(A2,'ข้อมูลยา ห้ามแก้ไข'!$A$2:$A994,'ข้อมูลยา ห้ามแก้ไข'!$C$2:$C994,"not found")</f>
        <v/>
      </c>
      <c r="D2" s="28">
        <f t="array" ref="D2">XLOOKUP(A2,'ข้อมูลยา ห้ามแก้ไข'!$A$2:$A994,'ข้อมูลยา ห้ามแก้ไข'!$D$2:$D994,"not found")</f>
        <v/>
      </c>
      <c r="E2" s="32">
        <f t="array" ref="E2">XLOOKUP(A2,'ข้อมูลยา ห้ามแก้ไข'!$A$2:$A994,'ข้อมูลยา ห้ามแก้ไข'!$F$2:$F994,"not found")</f>
        <v/>
      </c>
      <c r="F2" s="32">
        <f t="array" ref="F2">XLOOKUP(A2,'ข้อมูลยา ห้ามแก้ไข'!$A$2:$A994,'ข้อมูลยา ห้ามแก้ไข'!$G$2:$G994,"not found")</f>
        <v/>
      </c>
      <c r="G2" s="32">
        <f t="array" ref="G2">XLOOKUP(A2,'ข้อมูลยา ห้ามแก้ไข'!$A$2:$A994,'ข้อมูลยา ห้ามแก้ไข'!$I$2:$I994,"notfound")</f>
        <v/>
      </c>
      <c r="H2" s="31">
        <f t="array" ref="H2">XLOOKUP(A2,'ข้อมูลยา ห้ามแก้ไข'!$A$2:$A994,'ข้อมูลยา ห้ามแก้ไข'!$J$2:$J994,"not found")</f>
        <v/>
      </c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</row>
    <row r="3">
      <c r="A3" s="27">
        <f>'ข้อมูลยา ห้ามแก้ไข'!A3</f>
        <v/>
      </c>
      <c r="B3" s="28">
        <f t="array" ref="B3">XLOOKUP(A3,'ข้อมูลยา ห้ามแก้ไข'!$A$2:$A994,'ข้อมูลยา ห้ามแก้ไข'!$B$2:$B994,"not found")</f>
        <v/>
      </c>
      <c r="C3" s="28">
        <f t="array" ref="C3">XLOOKUP(A3,'ข้อมูลยา ห้ามแก้ไข'!$A$2:$A994,'ข้อมูลยา ห้ามแก้ไข'!$C$2:$C994,"not found")</f>
        <v/>
      </c>
      <c r="D3" s="28">
        <f t="array" ref="D3">XLOOKUP(A3,'ข้อมูลยา ห้ามแก้ไข'!$A$2:$A994,'ข้อมูลยา ห้ามแก้ไข'!$D$2:$D994,"not found")</f>
        <v/>
      </c>
      <c r="E3" s="32">
        <f t="array" ref="E3">XLOOKUP(A3,'ข้อมูลยา ห้ามแก้ไข'!$A$2:$A994,'ข้อมูลยา ห้ามแก้ไข'!$F$2:$F994,"not found")</f>
        <v/>
      </c>
      <c r="F3" s="32">
        <f t="array" ref="F3">XLOOKUP(A3,'ข้อมูลยา ห้ามแก้ไข'!$A$2:$A994,'ข้อมูลยา ห้ามแก้ไข'!$G$2:$G994,"not found")</f>
        <v/>
      </c>
      <c r="G3" s="31">
        <f t="array" ref="G3">XLOOKUP(A3,'ข้อมูลยา ห้ามแก้ไข'!$A$2:$A994,'ข้อมูลยา ห้ามแก้ไข'!$I$2:$I994,"notfound")</f>
        <v/>
      </c>
      <c r="H3" s="32">
        <f t="array" ref="H3">XLOOKUP(A3,'ข้อมูลยา ห้ามแก้ไข'!$A$2:$A994,'ข้อมูลยา ห้ามแก้ไข'!$J$2:$J994,"not found")</f>
        <v/>
      </c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</row>
    <row r="4">
      <c r="A4" s="27">
        <f>'ข้อมูลยา ห้ามแก้ไข'!A4</f>
        <v/>
      </c>
      <c r="B4" s="28">
        <f t="array" ref="B4">XLOOKUP(A4,'ข้อมูลยา ห้ามแก้ไข'!$A$2:$A994,'ข้อมูลยา ห้ามแก้ไข'!$B$2:$B994,"not found")</f>
        <v/>
      </c>
      <c r="C4" s="28">
        <f t="array" ref="C4">XLOOKUP(A4,'ข้อมูลยา ห้ามแก้ไข'!$A$2:$A994,'ข้อมูลยา ห้ามแก้ไข'!$C$2:$C994,"not found")</f>
        <v/>
      </c>
      <c r="D4" s="28">
        <f t="array" ref="D4">XLOOKUP(A4,'ข้อมูลยา ห้ามแก้ไข'!$A$2:$A994,'ข้อมูลยา ห้ามแก้ไข'!$D$2:$D994,"not found")</f>
        <v/>
      </c>
      <c r="E4" s="32">
        <f t="array" ref="E4">XLOOKUP(A4,'ข้อมูลยา ห้ามแก้ไข'!$A$2:$A994,'ข้อมูลยา ห้ามแก้ไข'!$F$2:$F994,"not found")</f>
        <v/>
      </c>
      <c r="F4" s="32">
        <f t="array" ref="F4">XLOOKUP(A4,'ข้อมูลยา ห้ามแก้ไข'!$A$2:$A994,'ข้อมูลยา ห้ามแก้ไข'!$G$2:$G994,"not found")</f>
        <v/>
      </c>
      <c r="G4" s="32">
        <f t="array" ref="G4">XLOOKUP(A4,'ข้อมูลยา ห้ามแก้ไข'!$A$2:$A994,'ข้อมูลยา ห้ามแก้ไข'!$I$2:$I994,"notfound")</f>
        <v/>
      </c>
      <c r="H4" s="32">
        <f t="array" ref="H4">XLOOKUP(A4,'ข้อมูลยา ห้ามแก้ไข'!$A$2:$A994,'ข้อมูลยา ห้ามแก้ไข'!$J$2:$J994,"not found")</f>
        <v/>
      </c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>
      <c r="A5" s="27">
        <f>'ข้อมูลยา ห้ามแก้ไข'!A5</f>
        <v/>
      </c>
      <c r="B5" s="28">
        <f t="array" ref="B5">XLOOKUP(A5,'ข้อมูลยา ห้ามแก้ไข'!$A$2:$A994,'ข้อมูลยา ห้ามแก้ไข'!$B$2:$B994,"not found")</f>
        <v/>
      </c>
      <c r="C5" s="28">
        <f t="array" ref="C5">XLOOKUP(A5,'ข้อมูลยา ห้ามแก้ไข'!$A$2:$A994,'ข้อมูลยา ห้ามแก้ไข'!$C$2:$C994,"not found")</f>
        <v/>
      </c>
      <c r="D5" s="28">
        <f t="array" ref="D5">XLOOKUP(A5,'ข้อมูลยา ห้ามแก้ไข'!$A$2:$A994,'ข้อมูลยา ห้ามแก้ไข'!$D$2:$D994,"not found")</f>
        <v/>
      </c>
      <c r="E5" s="32">
        <f t="array" ref="E5">XLOOKUP(A5,'ข้อมูลยา ห้ามแก้ไข'!$A$2:$A994,'ข้อมูลยา ห้ามแก้ไข'!$F$2:$F994,"not found")</f>
        <v/>
      </c>
      <c r="F5" s="32">
        <f t="array" ref="F5">XLOOKUP(A5,'ข้อมูลยา ห้ามแก้ไข'!$A$2:$A994,'ข้อมูลยา ห้ามแก้ไข'!$G$2:$G994,"not found")</f>
        <v/>
      </c>
      <c r="G5" s="32">
        <f t="array" ref="G5">XLOOKUP(A5,'ข้อมูลยา ห้ามแก้ไข'!$A$2:$A994,'ข้อมูลยา ห้ามแก้ไข'!$I$2:$I994,"notfound")</f>
        <v/>
      </c>
      <c r="H5" s="32">
        <f t="array" ref="H5">XLOOKUP(A5,'ข้อมูลยา ห้ามแก้ไข'!$A$2:$A994,'ข้อมูลยา ห้ามแก้ไข'!$J$2:$J994,"not found")</f>
        <v/>
      </c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</row>
    <row r="6">
      <c r="A6" s="27">
        <f>'ข้อมูลยา ห้ามแก้ไข'!A6</f>
        <v/>
      </c>
      <c r="B6" s="28">
        <f t="array" ref="B6">XLOOKUP(A6,'ข้อมูลยา ห้ามแก้ไข'!$A$2:$A994,'ข้อมูลยา ห้ามแก้ไข'!$B$2:$B994,"not found")</f>
        <v/>
      </c>
      <c r="C6" s="28">
        <f t="array" ref="C6">XLOOKUP(A6,'ข้อมูลยา ห้ามแก้ไข'!$A$2:$A994,'ข้อมูลยา ห้ามแก้ไข'!$C$2:$C994,"not found")</f>
        <v/>
      </c>
      <c r="D6" s="28">
        <f t="array" ref="D6">XLOOKUP(A6,'ข้อมูลยา ห้ามแก้ไข'!$A$2:$A994,'ข้อมูลยา ห้ามแก้ไข'!$D$2:$D994,"not found")</f>
        <v/>
      </c>
      <c r="E6" s="32">
        <f t="array" ref="E6">XLOOKUP(A6,'ข้อมูลยา ห้ามแก้ไข'!$A$2:$A994,'ข้อมูลยา ห้ามแก้ไข'!$F$2:$F994,"not found")</f>
        <v/>
      </c>
      <c r="F6" s="32">
        <f t="array" ref="F6">XLOOKUP(A6,'ข้อมูลยา ห้ามแก้ไข'!$A$2:$A994,'ข้อมูลยา ห้ามแก้ไข'!$G$2:$G994,"not found")</f>
        <v/>
      </c>
      <c r="G6" s="32">
        <f t="array" ref="G6">XLOOKUP(A6,'ข้อมูลยา ห้ามแก้ไข'!$A$2:$A994,'ข้อมูลยา ห้ามแก้ไข'!$I$2:$I994,"notfound")</f>
        <v/>
      </c>
      <c r="H6" s="32">
        <f t="array" ref="H6">XLOOKUP(A6,'ข้อมูลยา ห้ามแก้ไข'!$A$2:$A994,'ข้อมูลยา ห้ามแก้ไข'!$J$2:$J994,"not found")</f>
        <v/>
      </c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</row>
    <row r="7">
      <c r="A7" s="27">
        <f>'ข้อมูลยา ห้ามแก้ไข'!A7</f>
        <v/>
      </c>
      <c r="B7" s="28">
        <f t="array" ref="B7">XLOOKUP(A7,'ข้อมูลยา ห้ามแก้ไข'!$A$2:$A994,'ข้อมูลยา ห้ามแก้ไข'!$B$2:$B994,"not found")</f>
        <v/>
      </c>
      <c r="C7" s="28">
        <f t="array" ref="C7">XLOOKUP(A7,'ข้อมูลยา ห้ามแก้ไข'!$A$2:$A994,'ข้อมูลยา ห้ามแก้ไข'!$C$2:$C994,"not found")</f>
        <v/>
      </c>
      <c r="D7" s="28">
        <f t="array" ref="D7">XLOOKUP(A7,'ข้อมูลยา ห้ามแก้ไข'!$A$2:$A994,'ข้อมูลยา ห้ามแก้ไข'!$D$2:$D994,"not found")</f>
        <v/>
      </c>
      <c r="E7" s="32">
        <f t="array" ref="E7">XLOOKUP(A7,'ข้อมูลยา ห้ามแก้ไข'!$A$2:$A994,'ข้อมูลยา ห้ามแก้ไข'!$F$2:$F994,"not found")</f>
        <v/>
      </c>
      <c r="F7" s="32">
        <f t="array" ref="F7">XLOOKUP(A7,'ข้อมูลยา ห้ามแก้ไข'!$A$2:$A994,'ข้อมูลยา ห้ามแก้ไข'!$G$2:$G994,"not found")</f>
        <v/>
      </c>
      <c r="G7" s="32">
        <f t="array" ref="G7">XLOOKUP(A7,'ข้อมูลยา ห้ามแก้ไข'!$A$2:$A994,'ข้อมูลยา ห้ามแก้ไข'!$I$2:$I994,"notfound")</f>
        <v/>
      </c>
      <c r="H7" s="32">
        <f t="array" ref="H7">XLOOKUP(A7,'ข้อมูลยา ห้ามแก้ไข'!$A$2:$A994,'ข้อมูลยา ห้ามแก้ไข'!$J$2:$J994,"not found")</f>
        <v/>
      </c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>
      <c r="A8" s="27">
        <f>'ข้อมูลยา ห้ามแก้ไข'!A8</f>
        <v/>
      </c>
      <c r="B8" s="28">
        <f t="array" ref="B8">XLOOKUP(A8,'ข้อมูลยา ห้ามแก้ไข'!$A$2:$A994,'ข้อมูลยา ห้ามแก้ไข'!$B$2:$B994,"not found")</f>
        <v/>
      </c>
      <c r="C8" s="28">
        <f t="array" ref="C8">XLOOKUP(A8,'ข้อมูลยา ห้ามแก้ไข'!$A$2:$A994,'ข้อมูลยา ห้ามแก้ไข'!$C$2:$C994,"not found")</f>
        <v/>
      </c>
      <c r="D8" s="28">
        <f t="array" ref="D8">XLOOKUP(A8,'ข้อมูลยา ห้ามแก้ไข'!$A$2:$A994,'ข้อมูลยา ห้ามแก้ไข'!$D$2:$D994,"not found")</f>
        <v/>
      </c>
      <c r="E8" s="32">
        <f t="array" ref="E8">XLOOKUP(A8,'ข้อมูลยา ห้ามแก้ไข'!$A$2:$A994,'ข้อมูลยา ห้ามแก้ไข'!$F$2:$F994,"not found")</f>
        <v/>
      </c>
      <c r="F8" s="32">
        <f t="array" ref="F8">XLOOKUP(A8,'ข้อมูลยา ห้ามแก้ไข'!$A$2:$A994,'ข้อมูลยา ห้ามแก้ไข'!$G$2:$G994,"not found")</f>
        <v/>
      </c>
      <c r="G8" s="32">
        <f t="array" ref="G8">XLOOKUP(A8,'ข้อมูลยา ห้ามแก้ไข'!$A$2:$A994,'ข้อมูลยา ห้ามแก้ไข'!$I$2:$I994,"notfound")</f>
        <v/>
      </c>
      <c r="H8" s="32">
        <f t="array" ref="H8">XLOOKUP(A8,'ข้อมูลยา ห้ามแก้ไข'!$A$2:$A994,'ข้อมูลยา ห้ามแก้ไข'!$J$2:$J994,"not found")</f>
        <v/>
      </c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</row>
    <row r="9">
      <c r="A9" s="27">
        <f>'ข้อมูลยา ห้ามแก้ไข'!A9</f>
        <v/>
      </c>
      <c r="B9" s="28">
        <f t="array" ref="B9">XLOOKUP(A9,'ข้อมูลยา ห้ามแก้ไข'!$A$2:$A994,'ข้อมูลยา ห้ามแก้ไข'!$B$2:$B994,"not found")</f>
        <v/>
      </c>
      <c r="C9" s="28">
        <f t="array" ref="C9">XLOOKUP(A9,'ข้อมูลยา ห้ามแก้ไข'!$A$2:$A994,'ข้อมูลยา ห้ามแก้ไข'!$C$2:$C994,"not found")</f>
        <v/>
      </c>
      <c r="D9" s="28">
        <f t="array" ref="D9">XLOOKUP(A9,'ข้อมูลยา ห้ามแก้ไข'!$A$2:$A994,'ข้อมูลยา ห้ามแก้ไข'!$D$2:$D994,"not found")</f>
        <v/>
      </c>
      <c r="E9" s="32">
        <f t="array" ref="E9">XLOOKUP(A9,'ข้อมูลยา ห้ามแก้ไข'!$A$2:$A994,'ข้อมูลยา ห้ามแก้ไข'!$F$2:$F994,"not found")</f>
        <v/>
      </c>
      <c r="F9" s="32">
        <f t="array" ref="F9">XLOOKUP(A9,'ข้อมูลยา ห้ามแก้ไข'!$A$2:$A994,'ข้อมูลยา ห้ามแก้ไข'!$G$2:$G994,"not found")</f>
        <v/>
      </c>
      <c r="G9" s="32">
        <f t="array" ref="G9">XLOOKUP(A9,'ข้อมูลยา ห้ามแก้ไข'!$A$2:$A994,'ข้อมูลยา ห้ามแก้ไข'!$I$2:$I994,"notfound")</f>
        <v/>
      </c>
      <c r="H9" s="32">
        <f t="array" ref="H9">XLOOKUP(A9,'ข้อมูลยา ห้ามแก้ไข'!$A$2:$A994,'ข้อมูลยา ห้ามแก้ไข'!$J$2:$J994,"not found")</f>
        <v/>
      </c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</row>
    <row r="10">
      <c r="A10" s="27">
        <f>'ข้อมูลยา ห้ามแก้ไข'!A10</f>
        <v/>
      </c>
      <c r="B10" s="28">
        <f t="array" ref="B10">XLOOKUP(A10,'ข้อมูลยา ห้ามแก้ไข'!$A$2:$A994,'ข้อมูลยา ห้ามแก้ไข'!$B$2:$B994,"not found")</f>
        <v/>
      </c>
      <c r="C10" s="28">
        <f t="array" ref="C10">XLOOKUP(A10,'ข้อมูลยา ห้ามแก้ไข'!$A$2:$A994,'ข้อมูลยา ห้ามแก้ไข'!$C$2:$C994,"not found")</f>
        <v/>
      </c>
      <c r="D10" s="28">
        <f t="array" ref="D10">XLOOKUP(A10,'ข้อมูลยา ห้ามแก้ไข'!$A$2:$A994,'ข้อมูลยา ห้ามแก้ไข'!$D$2:$D994,"not found")</f>
        <v/>
      </c>
      <c r="E10" s="32">
        <f t="array" ref="E10">XLOOKUP(A10,'ข้อมูลยา ห้ามแก้ไข'!$A$2:$A994,'ข้อมูลยา ห้ามแก้ไข'!$F$2:$F994,"not found")</f>
        <v/>
      </c>
      <c r="F10" s="32">
        <f t="array" ref="F10">XLOOKUP(A10,'ข้อมูลยา ห้ามแก้ไข'!$A$2:$A994,'ข้อมูลยา ห้ามแก้ไข'!$G$2:$G994,"not found")</f>
        <v/>
      </c>
      <c r="G10" s="32">
        <f t="array" ref="G10">XLOOKUP(A10,'ข้อมูลยา ห้ามแก้ไข'!$A$2:$A994,'ข้อมูลยา ห้ามแก้ไข'!$I$2:$I994,"notfound")</f>
        <v/>
      </c>
      <c r="H10" s="32">
        <f t="array" ref="H10">XLOOKUP(A10,'ข้อมูลยา ห้ามแก้ไข'!$A$2:$A994,'ข้อมูลยา ห้ามแก้ไข'!$J$2:$J994,"not found")</f>
        <v/>
      </c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</row>
    <row r="11">
      <c r="A11" s="27">
        <f>'ข้อมูลยา ห้ามแก้ไข'!A11</f>
        <v/>
      </c>
      <c r="B11" s="28">
        <f t="array" ref="B11">XLOOKUP(A11,'ข้อมูลยา ห้ามแก้ไข'!$A$2:$A994,'ข้อมูลยา ห้ามแก้ไข'!$B$2:$B994,"not found")</f>
        <v/>
      </c>
      <c r="C11" s="28">
        <f t="array" ref="C11">XLOOKUP(A11,'ข้อมูลยา ห้ามแก้ไข'!$A$2:$A994,'ข้อมูลยา ห้ามแก้ไข'!$C$2:$C994,"not found")</f>
        <v/>
      </c>
      <c r="D11" s="28">
        <f t="array" ref="D11">XLOOKUP(A11,'ข้อมูลยา ห้ามแก้ไข'!$A$2:$A994,'ข้อมูลยา ห้ามแก้ไข'!$D$2:$D994,"not found")</f>
        <v/>
      </c>
      <c r="E11" s="32">
        <f t="array" ref="E11">XLOOKUP(A11,'ข้อมูลยา ห้ามแก้ไข'!$A$2:$A994,'ข้อมูลยา ห้ามแก้ไข'!$F$2:$F994,"not found")</f>
        <v/>
      </c>
      <c r="F11" s="32">
        <f t="array" ref="F11">XLOOKUP(A11,'ข้อมูลยา ห้ามแก้ไข'!$A$2:$A994,'ข้อมูลยา ห้ามแก้ไข'!$G$2:$G994,"not found")</f>
        <v/>
      </c>
      <c r="G11" s="32">
        <f t="array" ref="G11">XLOOKUP(A11,'ข้อมูลยา ห้ามแก้ไข'!$A$2:$A994,'ข้อมูลยา ห้ามแก้ไข'!$I$2:$I994,"notfound")</f>
        <v/>
      </c>
      <c r="H11" s="32">
        <f t="array" ref="H11">XLOOKUP(A11,'ข้อมูลยา ห้ามแก้ไข'!$A$2:$A994,'ข้อมูลยา ห้ามแก้ไข'!$J$2:$J994,"not found")</f>
        <v/>
      </c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</row>
    <row r="12">
      <c r="A12" s="27">
        <f>'ข้อมูลยา ห้ามแก้ไข'!A12</f>
        <v/>
      </c>
      <c r="B12" s="28">
        <f t="array" ref="B12">XLOOKUP(A12,'ข้อมูลยา ห้ามแก้ไข'!$A$2:$A994,'ข้อมูลยา ห้ามแก้ไข'!$B$2:$B994,"not found")</f>
        <v/>
      </c>
      <c r="C12" s="28">
        <f t="array" ref="C12">XLOOKUP(A12,'ข้อมูลยา ห้ามแก้ไข'!$A$2:$A994,'ข้อมูลยา ห้ามแก้ไข'!$C$2:$C994,"not found")</f>
        <v/>
      </c>
      <c r="D12" s="28">
        <f t="array" ref="D12">XLOOKUP(A12,'ข้อมูลยา ห้ามแก้ไข'!$A$2:$A994,'ข้อมูลยา ห้ามแก้ไข'!$D$2:$D994,"not found")</f>
        <v/>
      </c>
      <c r="E12" s="32">
        <f t="array" ref="E12">XLOOKUP(A12,'ข้อมูลยา ห้ามแก้ไข'!$A$2:$A994,'ข้อมูลยา ห้ามแก้ไข'!$F$2:$F994,"not found")</f>
        <v/>
      </c>
      <c r="F12" s="33">
        <f t="array" ref="F12">XLOOKUP(A12,'ข้อมูลยา ห้ามแก้ไข'!$A$2:$A994,'ข้อมูลยา ห้ามแก้ไข'!$G$2:$G994,"not found")</f>
        <v/>
      </c>
      <c r="G12" s="32">
        <f t="array" ref="G12">XLOOKUP(A12,'ข้อมูลยา ห้ามแก้ไข'!$A$2:$A994,'ข้อมูลยา ห้ามแก้ไข'!$I$2:$I994,"notfound")</f>
        <v/>
      </c>
      <c r="H12" s="32">
        <f t="array" ref="H12">XLOOKUP(A12,'ข้อมูลยา ห้ามแก้ไข'!$A$2:$A994,'ข้อมูลยา ห้ามแก้ไข'!$J$2:$J994,"not found")</f>
        <v/>
      </c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</row>
    <row r="13">
      <c r="A13" s="27">
        <f>'ข้อมูลยา ห้ามแก้ไข'!A13</f>
        <v/>
      </c>
      <c r="B13" s="28">
        <f t="array" ref="B13">XLOOKUP(A13,'ข้อมูลยา ห้ามแก้ไข'!$A$2:$A994,'ข้อมูลยา ห้ามแก้ไข'!$B$2:$B994,"not found")</f>
        <v/>
      </c>
      <c r="C13" s="28">
        <f t="array" ref="C13">XLOOKUP(A13,'ข้อมูลยา ห้ามแก้ไข'!$A$2:$A994,'ข้อมูลยา ห้ามแก้ไข'!$C$2:$C994,"not found")</f>
        <v/>
      </c>
      <c r="D13" s="28">
        <f t="array" ref="D13">XLOOKUP(A13,'ข้อมูลยา ห้ามแก้ไข'!$A$2:$A994,'ข้อมูลยา ห้ามแก้ไข'!$D$2:$D994,"not found")</f>
        <v/>
      </c>
      <c r="E13" s="34">
        <f t="array" ref="E13">XLOOKUP(A13,'ข้อมูลยา ห้ามแก้ไข'!$A$2:$A994,'ข้อมูลยา ห้ามแก้ไข'!$F$2:$F994,"not found")</f>
        <v/>
      </c>
      <c r="F13" s="32">
        <f t="array" ref="F13">XLOOKUP(A13,'ข้อมูลยา ห้ามแก้ไข'!$A$2:$A994,'ข้อมูลยา ห้ามแก้ไข'!$G$2:$G994,"not found")</f>
        <v/>
      </c>
      <c r="G13" s="32">
        <f t="array" ref="G13">XLOOKUP(A13,'ข้อมูลยา ห้ามแก้ไข'!$A$2:$A994,'ข้อมูลยา ห้ามแก้ไข'!$I$2:$I994,"notfound")</f>
        <v/>
      </c>
      <c r="H13" s="32">
        <f t="array" ref="H13">XLOOKUP(A13,'ข้อมูลยา ห้ามแก้ไข'!$A$2:$A994,'ข้อมูลยา ห้ามแก้ไข'!$J$2:$J994,"not found")</f>
        <v/>
      </c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</row>
    <row r="14">
      <c r="A14" s="27">
        <f>'ข้อมูลยา ห้ามแก้ไข'!A14</f>
        <v/>
      </c>
      <c r="B14" s="28">
        <f t="array" ref="B14">XLOOKUP(A14,'ข้อมูลยา ห้ามแก้ไข'!$A$2:$A994,'ข้อมูลยา ห้ามแก้ไข'!$B$2:$B994,"not found")</f>
        <v/>
      </c>
      <c r="C14" s="28">
        <f t="array" ref="C14">XLOOKUP(A14,'ข้อมูลยา ห้ามแก้ไข'!$A$2:$A994,'ข้อมูลยา ห้ามแก้ไข'!$C$2:$C994,"not found")</f>
        <v/>
      </c>
      <c r="D14" s="28">
        <f t="array" ref="D14">XLOOKUP(A14,'ข้อมูลยา ห้ามแก้ไข'!$A$2:$A994,'ข้อมูลยา ห้ามแก้ไข'!$D$2:$D994,"not found")</f>
        <v/>
      </c>
      <c r="E14" s="31">
        <f t="array" ref="E14">XLOOKUP(A14,'ข้อมูลยา ห้ามแก้ไข'!$A$2:$A994,'ข้อมูลยา ห้ามแก้ไข'!$F$2:$F994,"not found")</f>
        <v/>
      </c>
      <c r="F14" s="35">
        <f t="array" ref="F14">XLOOKUP(A14,'ข้อมูลยา ห้ามแก้ไข'!$A$2:$A994,'ข้อมูลยา ห้ามแก้ไข'!$G$2:$G994,"not found")</f>
        <v/>
      </c>
      <c r="G14" s="35">
        <f t="array" ref="G14">XLOOKUP(A14,'ข้อมูลยา ห้ามแก้ไข'!$A$2:$A994,'ข้อมูลยา ห้ามแก้ไข'!$I$2:$I994,"notfound")</f>
        <v/>
      </c>
      <c r="H14" s="32">
        <f t="array" ref="H14">XLOOKUP(A14,'ข้อมูลยา ห้ามแก้ไข'!$A$2:$A994,'ข้อมูลยา ห้ามแก้ไข'!$J$2:$J994,"not found")</f>
        <v/>
      </c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</row>
    <row r="15">
      <c r="A15" s="27">
        <f>'ข้อมูลยา ห้ามแก้ไข'!A15</f>
        <v/>
      </c>
      <c r="B15" s="28">
        <f t="array" ref="B15">XLOOKUP(A15,'ข้อมูลยา ห้ามแก้ไข'!$A$2:$A994,'ข้อมูลยา ห้ามแก้ไข'!$B$2:$B994,"not found")</f>
        <v/>
      </c>
      <c r="C15" s="28">
        <f t="array" ref="C15">XLOOKUP(A15,'ข้อมูลยา ห้ามแก้ไข'!$A$2:$A994,'ข้อมูลยา ห้ามแก้ไข'!$C$2:$C994,"not found")</f>
        <v/>
      </c>
      <c r="D15" s="28">
        <f t="array" ref="D15">XLOOKUP(A15,'ข้อมูลยา ห้ามแก้ไข'!$A$2:$A994,'ข้อมูลยา ห้ามแก้ไข'!$D$2:$D994,"not found")</f>
        <v/>
      </c>
      <c r="E15" s="32">
        <f t="array" ref="E15">XLOOKUP(A15,'ข้อมูลยา ห้ามแก้ไข'!$A$2:$A994,'ข้อมูลยา ห้ามแก้ไข'!$F$2:$F994,"not found")</f>
        <v/>
      </c>
      <c r="F15" s="32">
        <f t="array" ref="F15">XLOOKUP(A15,'ข้อมูลยา ห้ามแก้ไข'!$A$2:$A994,'ข้อมูลยา ห้ามแก้ไข'!$G$2:$G994,"not found")</f>
        <v/>
      </c>
      <c r="G15" s="31">
        <f t="array" ref="G15">XLOOKUP(A15,'ข้อมูลยา ห้ามแก้ไข'!$A$2:$A994,'ข้อมูลยา ห้ามแก้ไข'!$I$2:$I994,"notfound")</f>
        <v/>
      </c>
      <c r="H15" s="32">
        <f t="array" ref="H15">XLOOKUP(A15,'ข้อมูลยา ห้ามแก้ไข'!$A$2:$A994,'ข้อมูลยา ห้ามแก้ไข'!$J$2:$J994,"not found")</f>
        <v/>
      </c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</row>
    <row r="16">
      <c r="A16" s="36">
        <f>'ข้อมูลยา ห้ามแก้ไข'!A16</f>
        <v/>
      </c>
      <c r="B16" s="37">
        <f t="array" ref="B16">XLOOKUP(A16,'ข้อมูลยา ห้ามแก้ไข'!$A$2:$A994,'ข้อมูลยา ห้ามแก้ไข'!$B$2:$B994,"not found")</f>
        <v/>
      </c>
      <c r="C16" s="37">
        <f t="array" ref="C16">XLOOKUP(A16,'ข้อมูลยา ห้ามแก้ไข'!$A$2:$A994,'ข้อมูลยา ห้ามแก้ไข'!$C$2:$C994,"not found")</f>
        <v/>
      </c>
      <c r="D16" s="37">
        <f t="array" ref="D16">XLOOKUP(A16,'ข้อมูลยา ห้ามแก้ไข'!$A$2:$A994,'ข้อมูลยา ห้ามแก้ไข'!$D$2:$D994,"not found")</f>
        <v/>
      </c>
      <c r="E16" s="31">
        <f t="array" ref="E16">XLOOKUP(A16,'ข้อมูลยา ห้ามแก้ไข'!$A$2:$A994,'ข้อมูลยา ห้ามแก้ไข'!$F$2:$F994,"not found")</f>
        <v/>
      </c>
      <c r="F16" s="31">
        <f t="array" ref="F16">XLOOKUP(A16,'ข้อมูลยา ห้ามแก้ไข'!$A$2:$A994,'ข้อมูลยา ห้ามแก้ไข'!$G$2:$G994,"not found")</f>
        <v/>
      </c>
      <c r="G16" s="31">
        <f t="array" ref="G16">XLOOKUP(A16,'ข้อมูลยา ห้ามแก้ไข'!$A$2:$A994,'ข้อมูลยา ห้ามแก้ไข'!$I$2:$I994,"notfound")</f>
        <v/>
      </c>
      <c r="H16" s="31">
        <f t="array" ref="H16">XLOOKUP(A16,'ข้อมูลยา ห้ามแก้ไข'!$A$2:$A994,'ข้อมูลยา ห้ามแก้ไข'!$J$2:$J994,"not found")</f>
        <v/>
      </c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</row>
    <row r="17">
      <c r="A17" s="36">
        <f>'ข้อมูลยา ห้ามแก้ไข'!A17</f>
        <v/>
      </c>
      <c r="B17" s="37">
        <f t="array" ref="B17">XLOOKUP(A17,'ข้อมูลยา ห้ามแก้ไข'!$A$2:$A994,'ข้อมูลยา ห้ามแก้ไข'!$B$2:$B994,"not found")</f>
        <v/>
      </c>
      <c r="C17" s="37">
        <f t="array" ref="C17">XLOOKUP(A17,'ข้อมูลยา ห้ามแก้ไข'!$A$2:$A994,'ข้อมูลยา ห้ามแก้ไข'!$C$2:$C994,"not found")</f>
        <v/>
      </c>
      <c r="D17" s="37">
        <f t="array" ref="D17">XLOOKUP(A17,'ข้อมูลยา ห้ามแก้ไข'!$A$2:$A994,'ข้อมูลยา ห้ามแก้ไข'!$D$2:$D994,"not found")</f>
        <v/>
      </c>
      <c r="E17" s="31">
        <f t="array" ref="E17">XLOOKUP(A17,'ข้อมูลยา ห้ามแก้ไข'!$A$2:$A994,'ข้อมูลยา ห้ามแก้ไข'!$F$2:$F994,"not found")</f>
        <v/>
      </c>
      <c r="F17" s="31">
        <f t="array" ref="F17">XLOOKUP(A17,'ข้อมูลยา ห้ามแก้ไข'!$A$2:$A994,'ข้อมูลยา ห้ามแก้ไข'!$G$2:$G994,"not found")</f>
        <v/>
      </c>
      <c r="G17" s="31">
        <f t="array" ref="G17">XLOOKUP(A17,'ข้อมูลยา ห้ามแก้ไข'!$A$2:$A994,'ข้อมูลยา ห้ามแก้ไข'!$I$2:$I994,"notfound")</f>
        <v/>
      </c>
      <c r="H17" s="31">
        <f t="array" ref="H17">XLOOKUP(A17,'ข้อมูลยา ห้ามแก้ไข'!$A$2:$A994,'ข้อมูลยา ห้ามแก้ไข'!$J$2:$J994,"not found")</f>
        <v/>
      </c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</row>
    <row r="18">
      <c r="A18" s="36">
        <f>'ข้อมูลยา ห้ามแก้ไข'!A18</f>
        <v/>
      </c>
      <c r="B18" s="37">
        <f t="array" ref="B18">XLOOKUP(A18,'ข้อมูลยา ห้ามแก้ไข'!$A$2:$A994,'ข้อมูลยา ห้ามแก้ไข'!$B$2:$B994,"not found")</f>
        <v/>
      </c>
      <c r="C18" s="37">
        <f t="array" ref="C18">XLOOKUP(A18,'ข้อมูลยา ห้ามแก้ไข'!$A$2:$A994,'ข้อมูลยา ห้ามแก้ไข'!$C$2:$C994,"not found")</f>
        <v/>
      </c>
      <c r="D18" s="37">
        <f t="array" ref="D18">XLOOKUP(A18,'ข้อมูลยา ห้ามแก้ไข'!$A$2:$A994,'ข้อมูลยา ห้ามแก้ไข'!$D$2:$D994,"not found")</f>
        <v/>
      </c>
      <c r="E18" s="31">
        <f t="array" ref="E18">XLOOKUP(A18,'ข้อมูลยา ห้ามแก้ไข'!$A$2:$A994,'ข้อมูลยา ห้ามแก้ไข'!$F$2:$F994,"not found")</f>
        <v/>
      </c>
      <c r="F18" s="31">
        <f t="array" ref="F18">XLOOKUP(A18,'ข้อมูลยา ห้ามแก้ไข'!$A$2:$A994,'ข้อมูลยา ห้ามแก้ไข'!$G$2:$G994,"not found")</f>
        <v/>
      </c>
      <c r="G18" s="31">
        <f t="array" ref="G18">XLOOKUP(A18,'ข้อมูลยา ห้ามแก้ไข'!$A$2:$A994,'ข้อมูลยา ห้ามแก้ไข'!$I$2:$I994,"notfound")</f>
        <v/>
      </c>
      <c r="H18" s="31">
        <f t="array" ref="H18">XLOOKUP(A18,'ข้อมูลยา ห้ามแก้ไข'!$A$2:$A994,'ข้อมูลยา ห้ามแก้ไข'!$J$2:$J994,"not found")</f>
        <v/>
      </c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</row>
    <row r="19">
      <c r="A19" s="36">
        <f>'ข้อมูลยา ห้ามแก้ไข'!A19</f>
        <v/>
      </c>
      <c r="B19" s="37">
        <f t="array" ref="B19">XLOOKUP(A19,'ข้อมูลยา ห้ามแก้ไข'!$A$2:$A994,'ข้อมูลยา ห้ามแก้ไข'!$B$2:$B994,"not found")</f>
        <v/>
      </c>
      <c r="C19" s="37">
        <f t="array" ref="C19">XLOOKUP(A19,'ข้อมูลยา ห้ามแก้ไข'!$A$2:$A994,'ข้อมูลยา ห้ามแก้ไข'!$C$2:$C994,"not found")</f>
        <v/>
      </c>
      <c r="D19" s="37">
        <f t="array" ref="D19">XLOOKUP(A19,'ข้อมูลยา ห้ามแก้ไข'!$A$2:$A994,'ข้อมูลยา ห้ามแก้ไข'!$D$2:$D994,"not found")</f>
        <v/>
      </c>
      <c r="E19" s="31">
        <f t="array" ref="E19">XLOOKUP(A19,'ข้อมูลยา ห้ามแก้ไข'!$A$2:$A994,'ข้อมูลยา ห้ามแก้ไข'!$F$2:$F994,"not found")</f>
        <v/>
      </c>
      <c r="F19" s="31">
        <f t="array" ref="F19">XLOOKUP(A19,'ข้อมูลยา ห้ามแก้ไข'!$A$2:$A994,'ข้อมูลยา ห้ามแก้ไข'!$G$2:$G994,"not found")</f>
        <v/>
      </c>
      <c r="G19" s="31">
        <f t="array" ref="G19">XLOOKUP(A19,'ข้อมูลยา ห้ามแก้ไข'!$A$2:$A994,'ข้อมูลยา ห้ามแก้ไข'!$I$2:$I994,"notfound")</f>
        <v/>
      </c>
      <c r="H19" s="31">
        <f t="array" ref="H19">XLOOKUP(A19,'ข้อมูลยา ห้ามแก้ไข'!$A$2:$A994,'ข้อมูลยา ห้ามแก้ไข'!$J$2:$J994,"not found")</f>
        <v/>
      </c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</row>
    <row r="20">
      <c r="A20" s="36">
        <f>'ข้อมูลยา ห้ามแก้ไข'!A20</f>
        <v/>
      </c>
      <c r="B20" s="37">
        <f t="array" ref="B20">XLOOKUP(A20,'ข้อมูลยา ห้ามแก้ไข'!$A$2:$A994,'ข้อมูลยา ห้ามแก้ไข'!$B$2:$B994,"not found")</f>
        <v/>
      </c>
      <c r="C20" s="37">
        <f t="array" ref="C20">XLOOKUP(A20,'ข้อมูลยา ห้ามแก้ไข'!$A$2:$A994,'ข้อมูลยา ห้ามแก้ไข'!$C$2:$C994,"not found")</f>
        <v/>
      </c>
      <c r="D20" s="37">
        <f t="array" ref="D20">XLOOKUP(A20,'ข้อมูลยา ห้ามแก้ไข'!$A$2:$A994,'ข้อมูลยา ห้ามแก้ไข'!$D$2:$D994,"not found")</f>
        <v/>
      </c>
      <c r="E20" s="31">
        <f t="array" ref="E20">XLOOKUP(A20,'ข้อมูลยา ห้ามแก้ไข'!$A$2:$A994,'ข้อมูลยา ห้ามแก้ไข'!$F$2:$F994,"not found")</f>
        <v/>
      </c>
      <c r="F20" s="31">
        <f t="array" ref="F20">XLOOKUP(A20,'ข้อมูลยา ห้ามแก้ไข'!$A$2:$A994,'ข้อมูลยา ห้ามแก้ไข'!$G$2:$G994,"not found")</f>
        <v/>
      </c>
      <c r="G20" s="31">
        <f t="array" ref="G20">XLOOKUP(A20,'ข้อมูลยา ห้ามแก้ไข'!$A$2:$A994,'ข้อมูลยา ห้ามแก้ไข'!$I$2:$I994,"notfound")</f>
        <v/>
      </c>
      <c r="H20" s="31">
        <f t="array" ref="H20">XLOOKUP(A20,'ข้อมูลยา ห้ามแก้ไข'!$A$2:$A994,'ข้อมูลยา ห้ามแก้ไข'!$J$2:$J994,"not found")</f>
        <v/>
      </c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</row>
    <row r="21">
      <c r="A21" s="36">
        <f>'ข้อมูลยา ห้ามแก้ไข'!A21</f>
        <v/>
      </c>
      <c r="B21" s="37">
        <f t="array" ref="B21">XLOOKUP(A21,'ข้อมูลยา ห้ามแก้ไข'!$A$2:$A994,'ข้อมูลยา ห้ามแก้ไข'!$B$2:$B994,"not found")</f>
        <v/>
      </c>
      <c r="C21" s="37">
        <f t="array" ref="C21">XLOOKUP(A21,'ข้อมูลยา ห้ามแก้ไข'!$A$2:$A994,'ข้อมูลยา ห้ามแก้ไข'!$C$2:$C994,"not found")</f>
        <v/>
      </c>
      <c r="D21" s="37">
        <f t="array" ref="D21">XLOOKUP(A21,'ข้อมูลยา ห้ามแก้ไข'!$A$2:$A994,'ข้อมูลยา ห้ามแก้ไข'!$D$2:$D994,"not found")</f>
        <v/>
      </c>
      <c r="E21" s="31">
        <f t="array" ref="E21">XLOOKUP(A21,'ข้อมูลยา ห้ามแก้ไข'!$A$2:$A994,'ข้อมูลยา ห้ามแก้ไข'!$F$2:$F994,"not found")</f>
        <v/>
      </c>
      <c r="F21" s="31">
        <f t="array" ref="F21">XLOOKUP(A21,'ข้อมูลยา ห้ามแก้ไข'!$A$2:$A994,'ข้อมูลยา ห้ามแก้ไข'!$G$2:$G994,"not found")</f>
        <v/>
      </c>
      <c r="G21" s="31">
        <f t="array" ref="G21">XLOOKUP(A21,'ข้อมูลยา ห้ามแก้ไข'!$A$2:$A994,'ข้อมูลยา ห้ามแก้ไข'!$I$2:$I994,"notfound")</f>
        <v/>
      </c>
      <c r="H21" s="31">
        <f t="array" ref="H21">XLOOKUP(A21,'ข้อมูลยา ห้ามแก้ไข'!$A$2:$A994,'ข้อมูลยา ห้ามแก้ไข'!$J$2:$J994,"not found")</f>
        <v/>
      </c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</row>
    <row r="22">
      <c r="A22" s="36">
        <f>'ข้อมูลยา ห้ามแก้ไข'!A22</f>
        <v/>
      </c>
      <c r="B22" s="37">
        <f t="array" ref="B22">XLOOKUP(A22,'ข้อมูลยา ห้ามแก้ไข'!$A$2:$A994,'ข้อมูลยา ห้ามแก้ไข'!$B$2:$B994,"not found")</f>
        <v/>
      </c>
      <c r="C22" s="37">
        <f t="array" ref="C22">XLOOKUP(A22,'ข้อมูลยา ห้ามแก้ไข'!$A$2:$A994,'ข้อมูลยา ห้ามแก้ไข'!$C$2:$C994,"not found")</f>
        <v/>
      </c>
      <c r="D22" s="37">
        <f t="array" ref="D22">XLOOKUP(A22,'ข้อมูลยา ห้ามแก้ไข'!$A$2:$A994,'ข้อมูลยา ห้ามแก้ไข'!$D$2:$D994,"not found")</f>
        <v/>
      </c>
      <c r="E22" s="31">
        <f t="array" ref="E22">XLOOKUP(A22,'ข้อมูลยา ห้ามแก้ไข'!$A$2:$A994,'ข้อมูลยา ห้ามแก้ไข'!$F$2:$F994,"not found")</f>
        <v/>
      </c>
      <c r="F22" s="31">
        <f t="array" ref="F22">XLOOKUP(A22,'ข้อมูลยา ห้ามแก้ไข'!$A$2:$A994,'ข้อมูลยา ห้ามแก้ไข'!$G$2:$G994,"not found")</f>
        <v/>
      </c>
      <c r="G22" s="31">
        <f t="array" ref="G22">XLOOKUP(A22,'ข้อมูลยา ห้ามแก้ไข'!$A$2:$A994,'ข้อมูลยา ห้ามแก้ไข'!$I$2:$I994,"notfound")</f>
        <v/>
      </c>
      <c r="H22" s="31">
        <f t="array" ref="H22">XLOOKUP(A22,'ข้อมูลยา ห้ามแก้ไข'!$A$2:$A994,'ข้อมูลยา ห้ามแก้ไข'!$J$2:$J994,"not found")</f>
        <v/>
      </c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</row>
    <row r="23">
      <c r="A23" s="36">
        <f>'ข้อมูลยา ห้ามแก้ไข'!A23</f>
        <v/>
      </c>
      <c r="B23" s="37">
        <f t="array" ref="B23">XLOOKUP(A23,'ข้อมูลยา ห้ามแก้ไข'!$A$2:$A994,'ข้อมูลยา ห้ามแก้ไข'!$B$2:$B994,"not found")</f>
        <v/>
      </c>
      <c r="C23" s="37">
        <f t="array" ref="C23">XLOOKUP(A23,'ข้อมูลยา ห้ามแก้ไข'!$A$2:$A994,'ข้อมูลยา ห้ามแก้ไข'!$C$2:$C994,"not found")</f>
        <v/>
      </c>
      <c r="D23" s="37">
        <f t="array" ref="D23">XLOOKUP(A23,'ข้อมูลยา ห้ามแก้ไข'!$A$2:$A994,'ข้อมูลยา ห้ามแก้ไข'!$D$2:$D994,"not found")</f>
        <v/>
      </c>
      <c r="E23" s="31">
        <f t="array" ref="E23">XLOOKUP(A23,'ข้อมูลยา ห้ามแก้ไข'!$A$2:$A994,'ข้อมูลยา ห้ามแก้ไข'!$F$2:$F994,"not found")</f>
        <v/>
      </c>
      <c r="F23" s="31">
        <f t="array" ref="F23">XLOOKUP(A23,'ข้อมูลยา ห้ามแก้ไข'!$A$2:$A994,'ข้อมูลยา ห้ามแก้ไข'!$G$2:$G994,"not found")</f>
        <v/>
      </c>
      <c r="G23" s="31">
        <f t="array" ref="G23">XLOOKUP(A23,'ข้อมูลยา ห้ามแก้ไข'!$A$2:$A994,'ข้อมูลยา ห้ามแก้ไข'!$I$2:$I994,"notfound")</f>
        <v/>
      </c>
      <c r="H23" s="31">
        <f t="array" ref="H23">XLOOKUP(A23,'ข้อมูลยา ห้ามแก้ไข'!$A$2:$A994,'ข้อมูลยา ห้ามแก้ไข'!$J$2:$J994,"not found")</f>
        <v/>
      </c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</row>
    <row r="24">
      <c r="A24" s="36">
        <f>'ข้อมูลยา ห้ามแก้ไข'!A24</f>
        <v/>
      </c>
      <c r="B24" s="37">
        <f t="array" ref="B24">XLOOKUP(A24,'ข้อมูลยา ห้ามแก้ไข'!$A$2:$A994,'ข้อมูลยา ห้ามแก้ไข'!$B$2:$B994,"not found")</f>
        <v/>
      </c>
      <c r="C24" s="37">
        <f t="array" ref="C24">XLOOKUP(A24,'ข้อมูลยา ห้ามแก้ไข'!$A$2:$A994,'ข้อมูลยา ห้ามแก้ไข'!$C$2:$C994,"not found")</f>
        <v/>
      </c>
      <c r="D24" s="37">
        <f t="array" ref="D24">XLOOKUP(A24,'ข้อมูลยา ห้ามแก้ไข'!$A$2:$A994,'ข้อมูลยา ห้ามแก้ไข'!$D$2:$D994,"not found")</f>
        <v/>
      </c>
      <c r="E24" s="31">
        <f t="array" ref="E24">XLOOKUP(A24,'ข้อมูลยา ห้ามแก้ไข'!$A$2:$A994,'ข้อมูลยา ห้ามแก้ไข'!$F$2:$F994,"not found")</f>
        <v/>
      </c>
      <c r="F24" s="31">
        <f t="array" ref="F24">XLOOKUP(A24,'ข้อมูลยา ห้ามแก้ไข'!$A$2:$A994,'ข้อมูลยา ห้ามแก้ไข'!$G$2:$G994,"not found")</f>
        <v/>
      </c>
      <c r="G24" s="31">
        <f t="array" ref="G24">XLOOKUP(A24,'ข้อมูลยา ห้ามแก้ไข'!$A$2:$A994,'ข้อมูลยา ห้ามแก้ไข'!$I$2:$I994,"notfound")</f>
        <v/>
      </c>
      <c r="H24" s="31">
        <f t="array" ref="H24">XLOOKUP(A24,'ข้อมูลยา ห้ามแก้ไข'!$A$2:$A994,'ข้อมูลยา ห้ามแก้ไข'!$J$2:$J994,"not found")</f>
        <v/>
      </c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</row>
    <row r="25">
      <c r="A25" s="36">
        <f>'ข้อมูลยา ห้ามแก้ไข'!A25</f>
        <v/>
      </c>
      <c r="B25" s="37">
        <f t="array" ref="B25">XLOOKUP(A25,'ข้อมูลยา ห้ามแก้ไข'!$A$2:$A994,'ข้อมูลยา ห้ามแก้ไข'!$B$2:$B994,"not found")</f>
        <v/>
      </c>
      <c r="C25" s="37">
        <f t="array" ref="C25">XLOOKUP(A25,'ข้อมูลยา ห้ามแก้ไข'!$A$2:$A994,'ข้อมูลยา ห้ามแก้ไข'!$C$2:$C994,"not found")</f>
        <v/>
      </c>
      <c r="D25" s="37">
        <f t="array" ref="D25">XLOOKUP(A25,'ข้อมูลยา ห้ามแก้ไข'!$A$2:$A994,'ข้อมูลยา ห้ามแก้ไข'!$D$2:$D994,"not found")</f>
        <v/>
      </c>
      <c r="E25" s="31">
        <f t="array" ref="E25">XLOOKUP(A25,'ข้อมูลยา ห้ามแก้ไข'!$A$2:$A994,'ข้อมูลยา ห้ามแก้ไข'!$F$2:$F994,"not found")</f>
        <v/>
      </c>
      <c r="F25" s="31">
        <f t="array" ref="F25">XLOOKUP(A25,'ข้อมูลยา ห้ามแก้ไข'!$A$2:$A994,'ข้อมูลยา ห้ามแก้ไข'!$G$2:$G994,"not found")</f>
        <v/>
      </c>
      <c r="G25" s="31">
        <f t="array" ref="G25">XLOOKUP(A25,'ข้อมูลยา ห้ามแก้ไข'!$A$2:$A994,'ข้อมูลยา ห้ามแก้ไข'!$I$2:$I994,"notfound")</f>
        <v/>
      </c>
      <c r="H25" s="31">
        <f t="array" ref="H25">XLOOKUP(A25,'ข้อมูลยา ห้ามแก้ไข'!$A$2:$A994,'ข้อมูลยา ห้ามแก้ไข'!$J$2:$J994,"not found")</f>
        <v/>
      </c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</row>
    <row r="26">
      <c r="A26" s="36">
        <f>'ข้อมูลยา ห้ามแก้ไข'!A26</f>
        <v/>
      </c>
      <c r="B26" s="37">
        <f t="array" ref="B26">XLOOKUP(A26,'ข้อมูลยา ห้ามแก้ไข'!$A$2:$A994,'ข้อมูลยา ห้ามแก้ไข'!$B$2:$B994,"not found")</f>
        <v/>
      </c>
      <c r="C26" s="37">
        <f t="array" ref="C26">XLOOKUP(A26,'ข้อมูลยา ห้ามแก้ไข'!$A$2:$A994,'ข้อมูลยา ห้ามแก้ไข'!$C$2:$C994,"not found")</f>
        <v/>
      </c>
      <c r="D26" s="37">
        <f t="array" ref="D26">XLOOKUP(A26,'ข้อมูลยา ห้ามแก้ไข'!$A$2:$A994,'ข้อมูลยา ห้ามแก้ไข'!$D$2:$D994,"not found")</f>
        <v/>
      </c>
      <c r="E26" s="31">
        <f t="array" ref="E26">XLOOKUP(A26,'ข้อมูลยา ห้ามแก้ไข'!$A$2:$A994,'ข้อมูลยา ห้ามแก้ไข'!$F$2:$F994,"not found")</f>
        <v/>
      </c>
      <c r="F26" s="31">
        <f t="array" ref="F26">XLOOKUP(A26,'ข้อมูลยา ห้ามแก้ไข'!$A$2:$A994,'ข้อมูลยา ห้ามแก้ไข'!$G$2:$G994,"not found")</f>
        <v/>
      </c>
      <c r="G26" s="31">
        <f t="array" ref="G26">XLOOKUP(A26,'ข้อมูลยา ห้ามแก้ไข'!$A$2:$A994,'ข้อมูลยา ห้ามแก้ไข'!$I$2:$I994,"notfound")</f>
        <v/>
      </c>
      <c r="H26" s="31">
        <f t="array" ref="H26">XLOOKUP(A26,'ข้อมูลยา ห้ามแก้ไข'!$A$2:$A994,'ข้อมูลยา ห้ามแก้ไข'!$J$2:$J994,"not found")</f>
        <v/>
      </c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</row>
    <row r="27">
      <c r="A27" s="36">
        <f>'ข้อมูลยา ห้ามแก้ไข'!A27</f>
        <v/>
      </c>
      <c r="B27" s="37">
        <f t="array" ref="B27">XLOOKUP(A27,'ข้อมูลยา ห้ามแก้ไข'!$A$2:$A994,'ข้อมูลยา ห้ามแก้ไข'!$B$2:$B994,"not found")</f>
        <v/>
      </c>
      <c r="C27" s="37">
        <f t="array" ref="C27">XLOOKUP(A27,'ข้อมูลยา ห้ามแก้ไข'!$A$2:$A994,'ข้อมูลยา ห้ามแก้ไข'!$C$2:$C994,"not found")</f>
        <v/>
      </c>
      <c r="D27" s="37">
        <f t="array" ref="D27">XLOOKUP(A27,'ข้อมูลยา ห้ามแก้ไข'!$A$2:$A994,'ข้อมูลยา ห้ามแก้ไข'!$D$2:$D994,"not found")</f>
        <v/>
      </c>
      <c r="E27" s="31">
        <f t="array" ref="E27">XLOOKUP(A27,'ข้อมูลยา ห้ามแก้ไข'!$A$2:$A994,'ข้อมูลยา ห้ามแก้ไข'!$F$2:$F994,"not found")</f>
        <v/>
      </c>
      <c r="F27" s="31">
        <f t="array" ref="F27">XLOOKUP(A27,'ข้อมูลยา ห้ามแก้ไข'!$A$2:$A994,'ข้อมูลยา ห้ามแก้ไข'!$G$2:$G994,"not found")</f>
        <v/>
      </c>
      <c r="G27" s="31">
        <f t="array" ref="G27">XLOOKUP(A27,'ข้อมูลยา ห้ามแก้ไข'!$A$2:$A994,'ข้อมูลยา ห้ามแก้ไข'!$I$2:$I994,"notfound")</f>
        <v/>
      </c>
      <c r="H27" s="31">
        <f t="array" ref="H27">XLOOKUP(A27,'ข้อมูลยา ห้ามแก้ไข'!$A$2:$A994,'ข้อมูลยา ห้ามแก้ไข'!$J$2:$J994,"not found")</f>
        <v/>
      </c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</row>
    <row r="28">
      <c r="A28" s="36">
        <f>'ข้อมูลยา ห้ามแก้ไข'!A28</f>
        <v/>
      </c>
      <c r="B28" s="37">
        <f t="array" ref="B28">XLOOKUP(A28,'ข้อมูลยา ห้ามแก้ไข'!$A$2:$A994,'ข้อมูลยา ห้ามแก้ไข'!$B$2:$B994,"not found")</f>
        <v/>
      </c>
      <c r="C28" s="37">
        <f t="array" ref="C28">XLOOKUP(A28,'ข้อมูลยา ห้ามแก้ไข'!$A$2:$A994,'ข้อมูลยา ห้ามแก้ไข'!$C$2:$C994,"not found")</f>
        <v/>
      </c>
      <c r="D28" s="37">
        <f t="array" ref="D28">XLOOKUP(A28,'ข้อมูลยา ห้ามแก้ไข'!$A$2:$A994,'ข้อมูลยา ห้ามแก้ไข'!$D$2:$D994,"not found")</f>
        <v/>
      </c>
      <c r="E28" s="31">
        <f t="array" ref="E28">XLOOKUP(A28,'ข้อมูลยา ห้ามแก้ไข'!$A$2:$A994,'ข้อมูลยา ห้ามแก้ไข'!$F$2:$F994,"not found")</f>
        <v/>
      </c>
      <c r="F28" s="31">
        <f t="array" ref="F28">XLOOKUP(A28,'ข้อมูลยา ห้ามแก้ไข'!$A$2:$A994,'ข้อมูลยา ห้ามแก้ไข'!$G$2:$G994,"not found")</f>
        <v/>
      </c>
      <c r="G28" s="31">
        <f t="array" ref="G28">XLOOKUP(A28,'ข้อมูลยา ห้ามแก้ไข'!$A$2:$A994,'ข้อมูลยา ห้ามแก้ไข'!$I$2:$I994,"notfound")</f>
        <v/>
      </c>
      <c r="H28" s="31">
        <f t="array" ref="H28">XLOOKUP(A28,'ข้อมูลยา ห้ามแก้ไข'!$A$2:$A994,'ข้อมูลยา ห้ามแก้ไข'!$J$2:$J994,"not found")</f>
        <v/>
      </c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</row>
    <row r="29">
      <c r="A29" s="36">
        <f>'ข้อมูลยา ห้ามแก้ไข'!A29</f>
        <v/>
      </c>
      <c r="B29" s="37">
        <f t="array" ref="B29">XLOOKUP(A29,'ข้อมูลยา ห้ามแก้ไข'!$A$2:$A994,'ข้อมูลยา ห้ามแก้ไข'!$B$2:$B994,"not found")</f>
        <v/>
      </c>
      <c r="C29" s="37">
        <f t="array" ref="C29">XLOOKUP(A29,'ข้อมูลยา ห้ามแก้ไข'!$A$2:$A994,'ข้อมูลยา ห้ามแก้ไข'!$C$2:$C994,"not found")</f>
        <v/>
      </c>
      <c r="D29" s="37">
        <f t="array" ref="D29">XLOOKUP(A29,'ข้อมูลยา ห้ามแก้ไข'!$A$2:$A994,'ข้อมูลยา ห้ามแก้ไข'!$D$2:$D994,"not found")</f>
        <v/>
      </c>
      <c r="E29" s="31">
        <f t="array" ref="E29">XLOOKUP(A29,'ข้อมูลยา ห้ามแก้ไข'!$A$2:$A994,'ข้อมูลยา ห้ามแก้ไข'!$F$2:$F994,"not found")</f>
        <v/>
      </c>
      <c r="F29" s="31">
        <f t="array" ref="F29">XLOOKUP(A29,'ข้อมูลยา ห้ามแก้ไข'!$A$2:$A994,'ข้อมูลยา ห้ามแก้ไข'!$G$2:$G994,"not found")</f>
        <v/>
      </c>
      <c r="G29" s="31">
        <f t="array" ref="G29">XLOOKUP(A29,'ข้อมูลยา ห้ามแก้ไข'!$A$2:$A994,'ข้อมูลยา ห้ามแก้ไข'!$I$2:$I994,"notfound")</f>
        <v/>
      </c>
      <c r="H29" s="31">
        <f t="array" ref="H29">XLOOKUP(A29,'ข้อมูลยา ห้ามแก้ไข'!$A$2:$A994,'ข้อมูลยา ห้ามแก้ไข'!$J$2:$J994,"not found")</f>
        <v/>
      </c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</row>
    <row r="30">
      <c r="A30" s="36">
        <f>'ข้อมูลยา ห้ามแก้ไข'!A30</f>
        <v/>
      </c>
      <c r="B30" s="37">
        <f t="array" ref="B30">XLOOKUP(A30,'ข้อมูลยา ห้ามแก้ไข'!$A$2:$A994,'ข้อมูลยา ห้ามแก้ไข'!$B$2:$B994,"not found")</f>
        <v/>
      </c>
      <c r="C30" s="37">
        <f t="array" ref="C30">XLOOKUP(A30,'ข้อมูลยา ห้ามแก้ไข'!$A$2:$A994,'ข้อมูลยา ห้ามแก้ไข'!$C$2:$C994,"not found")</f>
        <v/>
      </c>
      <c r="D30" s="37">
        <f t="array" ref="D30">XLOOKUP(A30,'ข้อมูลยา ห้ามแก้ไข'!$A$2:$A994,'ข้อมูลยา ห้ามแก้ไข'!$D$2:$D994,"not found")</f>
        <v/>
      </c>
      <c r="E30" s="31">
        <f t="array" ref="E30">XLOOKUP(A30,'ข้อมูลยา ห้ามแก้ไข'!$A$2:$A994,'ข้อมูลยา ห้ามแก้ไข'!$F$2:$F994,"not found")</f>
        <v/>
      </c>
      <c r="F30" s="31">
        <f t="array" ref="F30">XLOOKUP(A30,'ข้อมูลยา ห้ามแก้ไข'!$A$2:$A994,'ข้อมูลยา ห้ามแก้ไข'!$G$2:$G994,"not found")</f>
        <v/>
      </c>
      <c r="G30" s="31">
        <f t="array" ref="G30">XLOOKUP(A30,'ข้อมูลยา ห้ามแก้ไข'!$A$2:$A994,'ข้อมูลยา ห้ามแก้ไข'!$I$2:$I994,"notfound")</f>
        <v/>
      </c>
      <c r="H30" s="31">
        <f t="array" ref="H30">XLOOKUP(A30,'ข้อมูลยา ห้ามแก้ไข'!$A$2:$A994,'ข้อมูลยา ห้ามแก้ไข'!$J$2:$J994,"not found")</f>
        <v/>
      </c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</row>
    <row r="31">
      <c r="A31" s="36">
        <f>'ข้อมูลยา ห้ามแก้ไข'!A31</f>
        <v/>
      </c>
      <c r="B31" s="37">
        <f t="array" ref="B31">XLOOKUP(A31,'ข้อมูลยา ห้ามแก้ไข'!$A$2:$A994,'ข้อมูลยา ห้ามแก้ไข'!$B$2:$B994,"not found")</f>
        <v/>
      </c>
      <c r="C31" s="37">
        <f t="array" ref="C31">XLOOKUP(A31,'ข้อมูลยา ห้ามแก้ไข'!$A$2:$A994,'ข้อมูลยา ห้ามแก้ไข'!$C$2:$C994,"not found")</f>
        <v/>
      </c>
      <c r="D31" s="37">
        <f t="array" ref="D31">XLOOKUP(A31,'ข้อมูลยา ห้ามแก้ไข'!$A$2:$A994,'ข้อมูลยา ห้ามแก้ไข'!$D$2:$D994,"not found")</f>
        <v/>
      </c>
      <c r="E31" s="31">
        <f t="array" ref="E31">XLOOKUP(A31,'ข้อมูลยา ห้ามแก้ไข'!$A$2:$A994,'ข้อมูลยา ห้ามแก้ไข'!$F$2:$F994,"not found")</f>
        <v/>
      </c>
      <c r="F31" s="31">
        <f t="array" ref="F31">XLOOKUP(A31,'ข้อมูลยา ห้ามแก้ไข'!$A$2:$A994,'ข้อมูลยา ห้ามแก้ไข'!$G$2:$G994,"not found")</f>
        <v/>
      </c>
      <c r="G31" s="31">
        <f t="array" ref="G31">XLOOKUP(A31,'ข้อมูลยา ห้ามแก้ไข'!$A$2:$A994,'ข้อมูลยา ห้ามแก้ไข'!$I$2:$I994,"notfound")</f>
        <v/>
      </c>
      <c r="H31" s="31">
        <f t="array" ref="H31">XLOOKUP(A31,'ข้อมูลยา ห้ามแก้ไข'!$A$2:$A994,'ข้อมูลยา ห้ามแก้ไข'!$J$2:$J994,"not found")</f>
        <v/>
      </c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</row>
    <row r="32">
      <c r="A32" s="27">
        <f>'ข้อมูลยา ห้ามแก้ไข'!A32</f>
        <v/>
      </c>
      <c r="B32" s="37">
        <f t="array" ref="B32">XLOOKUP(A32,'ข้อมูลยา ห้ามแก้ไข'!$A$2:$A994,'ข้อมูลยา ห้ามแก้ไข'!$B$2:$B994,"not found")</f>
        <v/>
      </c>
      <c r="C32" s="37">
        <f t="array" ref="C32">XLOOKUP(A32,'ข้อมูลยา ห้ามแก้ไข'!$A$2:$A994,'ข้อมูลยา ห้ามแก้ไข'!$C$2:$C994,"not found")</f>
        <v/>
      </c>
      <c r="D32" s="37">
        <f t="array" ref="D32">XLOOKUP(A32,'ข้อมูลยา ห้ามแก้ไข'!$A$2:$A994,'ข้อมูลยา ห้ามแก้ไข'!$D$2:$D994,"not found")</f>
        <v/>
      </c>
      <c r="E32" s="31">
        <f t="array" ref="E32">XLOOKUP(A32,'ข้อมูลยา ห้ามแก้ไข'!$A$2:$A994,'ข้อมูลยา ห้ามแก้ไข'!$F$2:$F994,"not found")</f>
        <v/>
      </c>
      <c r="F32" s="31">
        <f t="array" ref="F32">XLOOKUP(A32,'ข้อมูลยา ห้ามแก้ไข'!$A$2:$A994,'ข้อมูลยา ห้ามแก้ไข'!$G$2:$G994,"not found")</f>
        <v/>
      </c>
      <c r="G32" s="31">
        <f t="array" ref="G32">XLOOKUP(A32,'ข้อมูลยา ห้ามแก้ไข'!$A$2:$A994,'ข้อมูลยา ห้ามแก้ไข'!$I$2:$I994,"notfound")</f>
        <v/>
      </c>
      <c r="H32" s="31">
        <f t="array" ref="H32">XLOOKUP(A32,'ข้อมูลยา ห้ามแก้ไข'!$A$2:$A994,'ข้อมูลยา ห้ามแก้ไข'!$J$2:$J994,"not found")</f>
        <v/>
      </c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</row>
    <row r="33">
      <c r="A33" s="27">
        <f>'ข้อมูลยา ห้ามแก้ไข'!A33</f>
        <v/>
      </c>
      <c r="B33" s="37">
        <f t="array" ref="B33">XLOOKUP(A33,'ข้อมูลยา ห้ามแก้ไข'!$A$2:$A994,'ข้อมูลยา ห้ามแก้ไข'!$B$2:$B994,"not found")</f>
        <v/>
      </c>
      <c r="C33" s="37">
        <f t="array" ref="C33">XLOOKUP(A33,'ข้อมูลยา ห้ามแก้ไข'!$A$2:$A994,'ข้อมูลยา ห้ามแก้ไข'!$C$2:$C994,"not found")</f>
        <v/>
      </c>
      <c r="D33" s="37">
        <f t="array" ref="D33">XLOOKUP(A33,'ข้อมูลยา ห้ามแก้ไข'!$A$2:$A994,'ข้อมูลยา ห้ามแก้ไข'!$D$2:$D994,"not found")</f>
        <v/>
      </c>
      <c r="E33" s="31">
        <f t="array" ref="E33">XLOOKUP(A33,'ข้อมูลยา ห้ามแก้ไข'!$A$2:$A994,'ข้อมูลยา ห้ามแก้ไข'!$F$2:$F994,"not found")</f>
        <v/>
      </c>
      <c r="F33" s="31">
        <f t="array" ref="F33">XLOOKUP(A33,'ข้อมูลยา ห้ามแก้ไข'!$A$2:$A994,'ข้อมูลยา ห้ามแก้ไข'!$G$2:$G994,"not found")</f>
        <v/>
      </c>
      <c r="G33" s="31">
        <f t="array" ref="G33">XLOOKUP(A33,'ข้อมูลยา ห้ามแก้ไข'!$A$2:$A994,'ข้อมูลยา ห้ามแก้ไข'!$I$2:$I994,"notfound")</f>
        <v/>
      </c>
      <c r="H33" s="31">
        <f t="array" ref="H33">XLOOKUP(A33,'ข้อมูลยา ห้ามแก้ไข'!$A$2:$A994,'ข้อมูลยา ห้ามแก้ไข'!$J$2:$J994,"not found")</f>
        <v/>
      </c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</row>
    <row r="34">
      <c r="A34" s="27">
        <f>'ข้อมูลยา ห้ามแก้ไข'!A34</f>
        <v/>
      </c>
      <c r="B34" s="28" t="n"/>
      <c r="C34" s="28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</row>
    <row r="35">
      <c r="A35" s="27">
        <f>'ข้อมูลยา ห้ามแก้ไข'!A35</f>
        <v/>
      </c>
      <c r="B35" s="28" t="n"/>
      <c r="C35" s="28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</row>
    <row r="36">
      <c r="A36" s="27">
        <f>'ข้อมูลยา ห้ามแก้ไข'!A36</f>
        <v/>
      </c>
      <c r="B36" s="28" t="n"/>
      <c r="C36" s="28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</row>
    <row r="37">
      <c r="A37" s="27">
        <f>'ข้อมูลยา ห้ามแก้ไข'!A37</f>
        <v/>
      </c>
      <c r="B37" s="28" t="n"/>
      <c r="C37" s="28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</row>
    <row r="38">
      <c r="A38" s="27">
        <f>'ข้อมูลยา ห้ามแก้ไข'!A38</f>
        <v/>
      </c>
      <c r="B38" s="28" t="n"/>
      <c r="C38" s="28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</row>
    <row r="39">
      <c r="A39" s="27">
        <f>'ข้อมูลยา ห้ามแก้ไข'!A39</f>
        <v/>
      </c>
      <c r="B39" s="28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</row>
    <row r="40">
      <c r="A40" s="27">
        <f>'ข้อมูลยา ห้ามแก้ไข'!A40</f>
        <v/>
      </c>
      <c r="B40" s="28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</row>
    <row r="41">
      <c r="A41" s="26" t="n"/>
      <c r="B41" s="28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</row>
    <row r="43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</row>
    <row r="44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</row>
    <row r="45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</row>
    <row r="4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</row>
    <row r="47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</row>
    <row r="5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</row>
    <row r="5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</row>
    <row r="52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</row>
    <row r="53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</row>
    <row r="54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</row>
    <row r="57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</row>
    <row r="58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</row>
    <row r="59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</row>
    <row r="6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</row>
    <row r="6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</row>
    <row r="64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</row>
    <row r="65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</row>
    <row r="66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</row>
    <row r="67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</row>
    <row r="68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</row>
    <row r="7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</row>
    <row r="71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</row>
    <row r="72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</row>
    <row r="73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</row>
    <row r="74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</row>
    <row r="75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</row>
    <row r="76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</row>
    <row r="78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</row>
    <row r="79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</row>
    <row r="80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</row>
    <row r="8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</row>
    <row r="82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</row>
    <row r="85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</row>
    <row r="86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</row>
    <row r="87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</row>
    <row r="88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</row>
    <row r="89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</row>
    <row r="12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  <c r="Z121" s="26" t="n"/>
    </row>
    <row r="122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  <c r="Z122" s="26" t="n"/>
    </row>
    <row r="123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  <c r="Z123" s="26" t="n"/>
    </row>
    <row r="124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  <c r="Z124" s="26" t="n"/>
    </row>
    <row r="125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</row>
    <row r="126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  <c r="Z126" s="26" t="n"/>
    </row>
    <row r="127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  <c r="Z127" s="26" t="n"/>
    </row>
    <row r="128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  <c r="Z128" s="26" t="n"/>
    </row>
    <row r="129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  <c r="Z129" s="26" t="n"/>
    </row>
    <row r="130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  <c r="Z130" s="26" t="n"/>
    </row>
    <row r="13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  <c r="Z131" s="26" t="n"/>
    </row>
    <row r="132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  <c r="Z132" s="26" t="n"/>
    </row>
    <row r="133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  <c r="Z133" s="26" t="n"/>
    </row>
    <row r="134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  <c r="Z134" s="26" t="n"/>
    </row>
    <row r="135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  <c r="Z135" s="26" t="n"/>
    </row>
    <row r="136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  <c r="Z136" s="26" t="n"/>
    </row>
    <row r="137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  <c r="Z137" s="26" t="n"/>
    </row>
    <row r="138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  <c r="Z138" s="26" t="n"/>
    </row>
    <row r="139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  <c r="Z139" s="26" t="n"/>
    </row>
    <row r="140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  <c r="Z140" s="26" t="n"/>
    </row>
    <row r="14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  <c r="Z141" s="26" t="n"/>
    </row>
    <row r="142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  <c r="Z142" s="26" t="n"/>
    </row>
    <row r="143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</row>
    <row r="144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  <c r="Z144" s="26" t="n"/>
    </row>
    <row r="145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  <c r="Z145" s="26" t="n"/>
    </row>
    <row r="146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  <c r="Z146" s="26" t="n"/>
    </row>
    <row r="147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  <c r="Z147" s="26" t="n"/>
    </row>
    <row r="148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  <c r="Z148" s="26" t="n"/>
    </row>
    <row r="149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  <c r="Z149" s="26" t="n"/>
    </row>
    <row r="150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  <c r="Z150" s="26" t="n"/>
    </row>
    <row r="15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  <c r="Z151" s="26" t="n"/>
    </row>
    <row r="152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  <c r="Z152" s="26" t="n"/>
    </row>
    <row r="153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  <c r="Z153" s="26" t="n"/>
    </row>
    <row r="154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  <c r="Z154" s="26" t="n"/>
    </row>
    <row r="155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  <c r="Z155" s="26" t="n"/>
    </row>
    <row r="156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  <c r="Z156" s="26" t="n"/>
    </row>
    <row r="157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  <c r="Z157" s="26" t="n"/>
    </row>
    <row r="158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  <c r="Z158" s="26" t="n"/>
    </row>
    <row r="159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  <c r="Z159" s="26" t="n"/>
    </row>
    <row r="160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  <c r="Z160" s="26" t="n"/>
    </row>
    <row r="16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  <c r="Z161" s="26" t="n"/>
    </row>
    <row r="162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  <c r="Z162" s="26" t="n"/>
    </row>
    <row r="163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  <c r="Z163" s="26" t="n"/>
    </row>
    <row r="164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  <c r="Z164" s="26" t="n"/>
    </row>
    <row r="165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  <c r="Z165" s="26" t="n"/>
    </row>
    <row r="166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  <c r="Z166" s="26" t="n"/>
    </row>
    <row r="167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  <c r="Z167" s="26" t="n"/>
    </row>
    <row r="168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  <c r="Z168" s="26" t="n"/>
    </row>
    <row r="169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  <c r="Z169" s="26" t="n"/>
    </row>
    <row r="170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  <c r="Z170" s="26" t="n"/>
    </row>
    <row r="17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  <c r="Z171" s="26" t="n"/>
    </row>
    <row r="172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  <c r="Z172" s="26" t="n"/>
    </row>
    <row r="173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  <c r="Z173" s="26" t="n"/>
    </row>
    <row r="174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  <c r="Z174" s="26" t="n"/>
    </row>
    <row r="175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  <c r="Z175" s="26" t="n"/>
    </row>
    <row r="176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  <c r="Z176" s="26" t="n"/>
    </row>
    <row r="177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  <c r="Z177" s="26" t="n"/>
    </row>
    <row r="178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  <c r="Z178" s="26" t="n"/>
    </row>
    <row r="179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  <c r="Z179" s="26" t="n"/>
    </row>
    <row r="180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  <c r="Z180" s="26" t="n"/>
    </row>
    <row r="18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  <c r="Z181" s="26" t="n"/>
    </row>
    <row r="182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  <c r="Z182" s="26" t="n"/>
    </row>
    <row r="183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  <c r="Z183" s="26" t="n"/>
    </row>
    <row r="184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  <c r="Z184" s="26" t="n"/>
    </row>
    <row r="185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  <c r="Z185" s="26" t="n"/>
    </row>
    <row r="186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  <c r="Z186" s="26" t="n"/>
    </row>
    <row r="187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  <c r="Z187" s="26" t="n"/>
    </row>
    <row r="188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  <c r="Z188" s="26" t="n"/>
    </row>
    <row r="189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  <c r="Z189" s="26" t="n"/>
    </row>
    <row r="190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  <c r="Z190" s="26" t="n"/>
    </row>
    <row r="19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  <c r="Z191" s="26" t="n"/>
    </row>
    <row r="192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  <c r="Z192" s="26" t="n"/>
    </row>
    <row r="193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  <c r="Z193" s="26" t="n"/>
    </row>
    <row r="194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  <c r="Z194" s="26" t="n"/>
    </row>
    <row r="195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  <c r="Z195" s="26" t="n"/>
    </row>
    <row r="196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  <c r="Z196" s="26" t="n"/>
    </row>
    <row r="197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  <c r="Z197" s="26" t="n"/>
    </row>
    <row r="198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  <c r="Z198" s="26" t="n"/>
    </row>
    <row r="199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  <c r="Z199" s="26" t="n"/>
    </row>
    <row r="200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  <c r="Z200" s="26" t="n"/>
    </row>
    <row r="20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  <c r="Z201" s="26" t="n"/>
    </row>
    <row r="202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  <c r="Z202" s="26" t="n"/>
    </row>
    <row r="203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  <c r="Z203" s="26" t="n"/>
    </row>
    <row r="204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  <c r="Z204" s="26" t="n"/>
    </row>
    <row r="205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  <c r="Z205" s="26" t="n"/>
    </row>
    <row r="206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  <c r="Z206" s="26" t="n"/>
    </row>
    <row r="207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  <c r="Z207" s="26" t="n"/>
    </row>
    <row r="208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  <c r="Z208" s="26" t="n"/>
    </row>
    <row r="209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  <c r="Z209" s="26" t="n"/>
    </row>
    <row r="210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  <c r="Z210" s="26" t="n"/>
    </row>
    <row r="21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  <c r="Z211" s="26" t="n"/>
    </row>
    <row r="212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  <c r="Z212" s="26" t="n"/>
    </row>
    <row r="213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  <c r="Z213" s="26" t="n"/>
    </row>
    <row r="214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  <c r="Z214" s="26" t="n"/>
    </row>
    <row r="215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  <c r="Z215" s="26" t="n"/>
    </row>
    <row r="216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  <c r="Z216" s="26" t="n"/>
    </row>
    <row r="217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  <c r="Z217" s="26" t="n"/>
    </row>
    <row r="218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  <c r="Z218" s="26" t="n"/>
    </row>
    <row r="219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  <c r="Z219" s="26" t="n"/>
    </row>
    <row r="220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  <c r="Z220" s="26" t="n"/>
    </row>
    <row r="22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  <c r="Z221" s="26" t="n"/>
    </row>
    <row r="222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  <c r="Z222" s="26" t="n"/>
    </row>
    <row r="223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</row>
    <row r="224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  <c r="Z224" s="26" t="n"/>
    </row>
    <row r="225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  <c r="Z225" s="26" t="n"/>
    </row>
    <row r="226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  <c r="Z226" s="26" t="n"/>
    </row>
    <row r="227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  <c r="Z227" s="26" t="n"/>
    </row>
    <row r="228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  <c r="Z228" s="26" t="n"/>
    </row>
    <row r="229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  <c r="Z229" s="26" t="n"/>
    </row>
    <row r="230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  <c r="Z230" s="26" t="n"/>
    </row>
    <row r="23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  <c r="Z231" s="26" t="n"/>
    </row>
    <row r="232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  <c r="Z232" s="26" t="n"/>
    </row>
    <row r="233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  <c r="Z233" s="26" t="n"/>
    </row>
    <row r="234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  <c r="Z234" s="26" t="n"/>
    </row>
    <row r="235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  <c r="Z235" s="26" t="n"/>
    </row>
    <row r="236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  <c r="Z236" s="26" t="n"/>
    </row>
    <row r="237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  <c r="Z237" s="26" t="n"/>
    </row>
    <row r="238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  <c r="Z238" s="26" t="n"/>
    </row>
    <row r="239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  <c r="Z239" s="26" t="n"/>
    </row>
    <row r="240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  <c r="Z240" s="26" t="n"/>
    </row>
    <row r="24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  <c r="Z241" s="26" t="n"/>
    </row>
    <row r="242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  <c r="Z242" s="26" t="n"/>
    </row>
    <row r="243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  <c r="Z243" s="26" t="n"/>
    </row>
    <row r="244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  <c r="Z244" s="26" t="n"/>
    </row>
    <row r="245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  <c r="Z245" s="26" t="n"/>
    </row>
    <row r="246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  <c r="Z246" s="26" t="n"/>
    </row>
    <row r="247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26" t="n"/>
      <c r="Y247" s="26" t="n"/>
      <c r="Z247" s="26" t="n"/>
    </row>
    <row r="248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26" t="n"/>
      <c r="Y248" s="26" t="n"/>
      <c r="Z248" s="26" t="n"/>
    </row>
    <row r="249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26" t="n"/>
      <c r="Y249" s="26" t="n"/>
      <c r="Z249" s="26" t="n"/>
    </row>
    <row r="250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26" t="n"/>
      <c r="Y250" s="26" t="n"/>
      <c r="Z250" s="26" t="n"/>
    </row>
    <row r="251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26" t="n"/>
      <c r="Y251" s="26" t="n"/>
      <c r="Z251" s="26" t="n"/>
    </row>
    <row r="252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26" t="n"/>
      <c r="Y252" s="26" t="n"/>
      <c r="Z252" s="26" t="n"/>
    </row>
    <row r="253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26" t="n"/>
      <c r="Y253" s="26" t="n"/>
      <c r="Z253" s="26" t="n"/>
    </row>
    <row r="254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26" t="n"/>
      <c r="X254" s="26" t="n"/>
      <c r="Y254" s="26" t="n"/>
      <c r="Z254" s="26" t="n"/>
    </row>
    <row r="255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6" t="n"/>
      <c r="Q255" s="26" t="n"/>
      <c r="R255" s="26" t="n"/>
      <c r="S255" s="26" t="n"/>
      <c r="T255" s="26" t="n"/>
      <c r="U255" s="26" t="n"/>
      <c r="V255" s="26" t="n"/>
      <c r="W255" s="26" t="n"/>
      <c r="X255" s="26" t="n"/>
      <c r="Y255" s="26" t="n"/>
      <c r="Z255" s="26" t="n"/>
    </row>
    <row r="256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26" t="n"/>
      <c r="X256" s="26" t="n"/>
      <c r="Y256" s="26" t="n"/>
      <c r="Z256" s="26" t="n"/>
    </row>
    <row r="257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6" t="n"/>
      <c r="Q257" s="26" t="n"/>
      <c r="R257" s="26" t="n"/>
      <c r="S257" s="26" t="n"/>
      <c r="T257" s="26" t="n"/>
      <c r="U257" s="26" t="n"/>
      <c r="V257" s="26" t="n"/>
      <c r="W257" s="26" t="n"/>
      <c r="X257" s="26" t="n"/>
      <c r="Y257" s="26" t="n"/>
      <c r="Z257" s="26" t="n"/>
    </row>
    <row r="258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26" t="n"/>
      <c r="X258" s="26" t="n"/>
      <c r="Y258" s="26" t="n"/>
      <c r="Z258" s="26" t="n"/>
    </row>
    <row r="259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6" t="n"/>
      <c r="Q259" s="26" t="n"/>
      <c r="R259" s="26" t="n"/>
      <c r="S259" s="26" t="n"/>
      <c r="T259" s="26" t="n"/>
      <c r="U259" s="26" t="n"/>
      <c r="V259" s="26" t="n"/>
      <c r="W259" s="26" t="n"/>
      <c r="X259" s="26" t="n"/>
      <c r="Y259" s="26" t="n"/>
      <c r="Z259" s="26" t="n"/>
    </row>
    <row r="260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26" t="n"/>
      <c r="X260" s="26" t="n"/>
      <c r="Y260" s="26" t="n"/>
      <c r="Z260" s="26" t="n"/>
    </row>
    <row r="261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n"/>
      <c r="U261" s="26" t="n"/>
      <c r="V261" s="26" t="n"/>
      <c r="W261" s="26" t="n"/>
      <c r="X261" s="26" t="n"/>
      <c r="Y261" s="26" t="n"/>
      <c r="Z261" s="26" t="n"/>
    </row>
    <row r="262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26" t="n"/>
      <c r="X262" s="26" t="n"/>
      <c r="Y262" s="26" t="n"/>
      <c r="Z262" s="26" t="n"/>
    </row>
    <row r="263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n"/>
      <c r="U263" s="26" t="n"/>
      <c r="V263" s="26" t="n"/>
      <c r="W263" s="26" t="n"/>
      <c r="X263" s="26" t="n"/>
      <c r="Y263" s="26" t="n"/>
      <c r="Z263" s="26" t="n"/>
    </row>
    <row r="264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26" t="n"/>
      <c r="X264" s="26" t="n"/>
      <c r="Y264" s="26" t="n"/>
      <c r="Z264" s="26" t="n"/>
    </row>
    <row r="265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6" t="n"/>
      <c r="Q265" s="26" t="n"/>
      <c r="R265" s="26" t="n"/>
      <c r="S265" s="26" t="n"/>
      <c r="T265" s="26" t="n"/>
      <c r="U265" s="26" t="n"/>
      <c r="V265" s="26" t="n"/>
      <c r="W265" s="26" t="n"/>
      <c r="X265" s="26" t="n"/>
      <c r="Y265" s="26" t="n"/>
      <c r="Z265" s="26" t="n"/>
    </row>
    <row r="266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26" t="n"/>
      <c r="X266" s="26" t="n"/>
      <c r="Y266" s="26" t="n"/>
      <c r="Z266" s="26" t="n"/>
    </row>
    <row r="267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6" t="n"/>
      <c r="Q267" s="26" t="n"/>
      <c r="R267" s="26" t="n"/>
      <c r="S267" s="26" t="n"/>
      <c r="T267" s="26" t="n"/>
      <c r="U267" s="26" t="n"/>
      <c r="V267" s="26" t="n"/>
      <c r="W267" s="26" t="n"/>
      <c r="X267" s="26" t="n"/>
      <c r="Y267" s="26" t="n"/>
      <c r="Z267" s="26" t="n"/>
    </row>
    <row r="268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26" t="n"/>
      <c r="X268" s="26" t="n"/>
      <c r="Y268" s="26" t="n"/>
      <c r="Z268" s="26" t="n"/>
    </row>
    <row r="269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R269" s="26" t="n"/>
      <c r="S269" s="26" t="n"/>
      <c r="T269" s="26" t="n"/>
      <c r="U269" s="26" t="n"/>
      <c r="V269" s="26" t="n"/>
      <c r="W269" s="26" t="n"/>
      <c r="X269" s="26" t="n"/>
      <c r="Y269" s="26" t="n"/>
      <c r="Z269" s="26" t="n"/>
    </row>
    <row r="270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26" t="n"/>
      <c r="X270" s="26" t="n"/>
      <c r="Y270" s="26" t="n"/>
      <c r="Z270" s="26" t="n"/>
    </row>
    <row r="271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n"/>
      <c r="U271" s="26" t="n"/>
      <c r="V271" s="26" t="n"/>
      <c r="W271" s="26" t="n"/>
      <c r="X271" s="26" t="n"/>
      <c r="Y271" s="26" t="n"/>
      <c r="Z271" s="26" t="n"/>
    </row>
    <row r="272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26" t="n"/>
      <c r="X272" s="26" t="n"/>
      <c r="Y272" s="26" t="n"/>
      <c r="Z272" s="26" t="n"/>
    </row>
    <row r="273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n"/>
      <c r="U273" s="26" t="n"/>
      <c r="V273" s="26" t="n"/>
      <c r="W273" s="26" t="n"/>
      <c r="X273" s="26" t="n"/>
      <c r="Y273" s="26" t="n"/>
      <c r="Z273" s="26" t="n"/>
    </row>
    <row r="274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26" t="n"/>
      <c r="X274" s="26" t="n"/>
      <c r="Y274" s="26" t="n"/>
      <c r="Z274" s="26" t="n"/>
    </row>
    <row r="275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6" t="n"/>
      <c r="Q275" s="26" t="n"/>
      <c r="R275" s="26" t="n"/>
      <c r="S275" s="26" t="n"/>
      <c r="T275" s="26" t="n"/>
      <c r="U275" s="26" t="n"/>
      <c r="V275" s="26" t="n"/>
      <c r="W275" s="26" t="n"/>
      <c r="X275" s="26" t="n"/>
      <c r="Y275" s="26" t="n"/>
      <c r="Z275" s="26" t="n"/>
    </row>
    <row r="276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26" t="n"/>
      <c r="X276" s="26" t="n"/>
      <c r="Y276" s="26" t="n"/>
      <c r="Z276" s="26" t="n"/>
    </row>
    <row r="277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n"/>
      <c r="R277" s="26" t="n"/>
      <c r="S277" s="26" t="n"/>
      <c r="T277" s="26" t="n"/>
      <c r="U277" s="26" t="n"/>
      <c r="V277" s="26" t="n"/>
      <c r="W277" s="26" t="n"/>
      <c r="X277" s="26" t="n"/>
      <c r="Y277" s="26" t="n"/>
      <c r="Z277" s="26" t="n"/>
    </row>
    <row r="278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26" t="n"/>
      <c r="X278" s="26" t="n"/>
      <c r="Y278" s="26" t="n"/>
      <c r="Z278" s="26" t="n"/>
    </row>
    <row r="279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n"/>
      <c r="U279" s="26" t="n"/>
      <c r="V279" s="26" t="n"/>
      <c r="W279" s="26" t="n"/>
      <c r="X279" s="26" t="n"/>
      <c r="Y279" s="26" t="n"/>
      <c r="Z279" s="26" t="n"/>
    </row>
    <row r="280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26" t="n"/>
      <c r="X280" s="26" t="n"/>
      <c r="Y280" s="26" t="n"/>
      <c r="Z280" s="26" t="n"/>
    </row>
    <row r="281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n"/>
      <c r="U281" s="26" t="n"/>
      <c r="V281" s="26" t="n"/>
      <c r="W281" s="26" t="n"/>
      <c r="X281" s="26" t="n"/>
      <c r="Y281" s="26" t="n"/>
      <c r="Z281" s="26" t="n"/>
    </row>
    <row r="282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26" t="n"/>
      <c r="X282" s="26" t="n"/>
      <c r="Y282" s="26" t="n"/>
      <c r="Z282" s="26" t="n"/>
    </row>
    <row r="283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n"/>
      <c r="U283" s="26" t="n"/>
      <c r="V283" s="26" t="n"/>
      <c r="W283" s="26" t="n"/>
      <c r="X283" s="26" t="n"/>
      <c r="Y283" s="26" t="n"/>
      <c r="Z283" s="26" t="n"/>
    </row>
    <row r="284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26" t="n"/>
      <c r="X284" s="26" t="n"/>
      <c r="Y284" s="26" t="n"/>
      <c r="Z284" s="26" t="n"/>
    </row>
    <row r="285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6" t="n"/>
      <c r="Q285" s="26" t="n"/>
      <c r="R285" s="26" t="n"/>
      <c r="S285" s="26" t="n"/>
      <c r="T285" s="26" t="n"/>
      <c r="U285" s="26" t="n"/>
      <c r="V285" s="26" t="n"/>
      <c r="W285" s="26" t="n"/>
      <c r="X285" s="26" t="n"/>
      <c r="Y285" s="26" t="n"/>
      <c r="Z285" s="26" t="n"/>
    </row>
    <row r="286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26" t="n"/>
      <c r="X286" s="26" t="n"/>
      <c r="Y286" s="26" t="n"/>
      <c r="Z286" s="26" t="n"/>
    </row>
    <row r="287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n"/>
      <c r="U287" s="26" t="n"/>
      <c r="V287" s="26" t="n"/>
      <c r="W287" s="26" t="n"/>
      <c r="X287" s="26" t="n"/>
      <c r="Y287" s="26" t="n"/>
      <c r="Z287" s="26" t="n"/>
    </row>
    <row r="288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26" t="n"/>
      <c r="X288" s="26" t="n"/>
      <c r="Y288" s="26" t="n"/>
      <c r="Z288" s="26" t="n"/>
    </row>
    <row r="289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6" t="n"/>
      <c r="Q289" s="26" t="n"/>
      <c r="R289" s="26" t="n"/>
      <c r="S289" s="26" t="n"/>
      <c r="T289" s="26" t="n"/>
      <c r="U289" s="26" t="n"/>
      <c r="V289" s="26" t="n"/>
      <c r="W289" s="26" t="n"/>
      <c r="X289" s="26" t="n"/>
      <c r="Y289" s="26" t="n"/>
      <c r="Z289" s="26" t="n"/>
    </row>
    <row r="290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26" t="n"/>
      <c r="X290" s="26" t="n"/>
      <c r="Y290" s="26" t="n"/>
      <c r="Z290" s="26" t="n"/>
    </row>
    <row r="291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6" t="n"/>
      <c r="Q291" s="26" t="n"/>
      <c r="R291" s="26" t="n"/>
      <c r="S291" s="26" t="n"/>
      <c r="T291" s="26" t="n"/>
      <c r="U291" s="26" t="n"/>
      <c r="V291" s="26" t="n"/>
      <c r="W291" s="26" t="n"/>
      <c r="X291" s="26" t="n"/>
      <c r="Y291" s="26" t="n"/>
      <c r="Z291" s="26" t="n"/>
    </row>
    <row r="292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26" t="n"/>
      <c r="X292" s="26" t="n"/>
      <c r="Y292" s="26" t="n"/>
      <c r="Z292" s="26" t="n"/>
    </row>
    <row r="293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6" t="n"/>
      <c r="Q293" s="26" t="n"/>
      <c r="R293" s="26" t="n"/>
      <c r="S293" s="26" t="n"/>
      <c r="T293" s="26" t="n"/>
      <c r="U293" s="26" t="n"/>
      <c r="V293" s="26" t="n"/>
      <c r="W293" s="26" t="n"/>
      <c r="X293" s="26" t="n"/>
      <c r="Y293" s="26" t="n"/>
      <c r="Z293" s="26" t="n"/>
    </row>
    <row r="294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26" t="n"/>
      <c r="X294" s="26" t="n"/>
      <c r="Y294" s="26" t="n"/>
      <c r="Z294" s="26" t="n"/>
    </row>
    <row r="295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6" t="n"/>
      <c r="Q295" s="26" t="n"/>
      <c r="R295" s="26" t="n"/>
      <c r="S295" s="26" t="n"/>
      <c r="T295" s="26" t="n"/>
      <c r="U295" s="26" t="n"/>
      <c r="V295" s="26" t="n"/>
      <c r="W295" s="26" t="n"/>
      <c r="X295" s="26" t="n"/>
      <c r="Y295" s="26" t="n"/>
      <c r="Z295" s="26" t="n"/>
    </row>
    <row r="296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26" t="n"/>
      <c r="X296" s="26" t="n"/>
      <c r="Y296" s="26" t="n"/>
      <c r="Z296" s="26" t="n"/>
    </row>
    <row r="297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n"/>
      <c r="U297" s="26" t="n"/>
      <c r="V297" s="26" t="n"/>
      <c r="W297" s="26" t="n"/>
      <c r="X297" s="26" t="n"/>
      <c r="Y297" s="26" t="n"/>
      <c r="Z297" s="26" t="n"/>
    </row>
    <row r="298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26" t="n"/>
      <c r="X298" s="26" t="n"/>
      <c r="Y298" s="26" t="n"/>
      <c r="Z298" s="26" t="n"/>
    </row>
    <row r="299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n"/>
      <c r="U299" s="26" t="n"/>
      <c r="V299" s="26" t="n"/>
      <c r="W299" s="26" t="n"/>
      <c r="X299" s="26" t="n"/>
      <c r="Y299" s="26" t="n"/>
      <c r="Z299" s="26" t="n"/>
    </row>
    <row r="300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26" t="n"/>
      <c r="X300" s="26" t="n"/>
      <c r="Y300" s="26" t="n"/>
      <c r="Z300" s="26" t="n"/>
    </row>
    <row r="301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6" t="n"/>
      <c r="Q301" s="26" t="n"/>
      <c r="R301" s="26" t="n"/>
      <c r="S301" s="26" t="n"/>
      <c r="T301" s="26" t="n"/>
      <c r="U301" s="26" t="n"/>
      <c r="V301" s="26" t="n"/>
      <c r="W301" s="26" t="n"/>
      <c r="X301" s="26" t="n"/>
      <c r="Y301" s="26" t="n"/>
      <c r="Z301" s="26" t="n"/>
    </row>
    <row r="302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26" t="n"/>
      <c r="X302" s="26" t="n"/>
      <c r="Y302" s="26" t="n"/>
      <c r="Z302" s="26" t="n"/>
    </row>
    <row r="303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6" t="n"/>
      <c r="Q303" s="26" t="n"/>
      <c r="R303" s="26" t="n"/>
      <c r="S303" s="26" t="n"/>
      <c r="T303" s="26" t="n"/>
      <c r="U303" s="26" t="n"/>
      <c r="V303" s="26" t="n"/>
      <c r="W303" s="26" t="n"/>
      <c r="X303" s="26" t="n"/>
      <c r="Y303" s="26" t="n"/>
      <c r="Z303" s="26" t="n"/>
    </row>
    <row r="304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26" t="n"/>
      <c r="X304" s="26" t="n"/>
      <c r="Y304" s="26" t="n"/>
      <c r="Z304" s="26" t="n"/>
    </row>
    <row r="305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R305" s="26" t="n"/>
      <c r="S305" s="26" t="n"/>
      <c r="T305" s="26" t="n"/>
      <c r="U305" s="26" t="n"/>
      <c r="V305" s="26" t="n"/>
      <c r="W305" s="26" t="n"/>
      <c r="X305" s="26" t="n"/>
      <c r="Y305" s="26" t="n"/>
      <c r="Z305" s="26" t="n"/>
    </row>
    <row r="306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26" t="n"/>
      <c r="X306" s="26" t="n"/>
      <c r="Y306" s="26" t="n"/>
      <c r="Z306" s="26" t="n"/>
    </row>
    <row r="307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n"/>
      <c r="U307" s="26" t="n"/>
      <c r="V307" s="26" t="n"/>
      <c r="W307" s="26" t="n"/>
      <c r="X307" s="26" t="n"/>
      <c r="Y307" s="26" t="n"/>
      <c r="Z307" s="26" t="n"/>
    </row>
    <row r="308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26" t="n"/>
      <c r="X308" s="26" t="n"/>
      <c r="Y308" s="26" t="n"/>
      <c r="Z308" s="26" t="n"/>
    </row>
    <row r="309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6" t="n"/>
      <c r="Q309" s="26" t="n"/>
      <c r="R309" s="26" t="n"/>
      <c r="S309" s="26" t="n"/>
      <c r="T309" s="26" t="n"/>
      <c r="U309" s="26" t="n"/>
      <c r="V309" s="26" t="n"/>
      <c r="W309" s="26" t="n"/>
      <c r="X309" s="26" t="n"/>
      <c r="Y309" s="26" t="n"/>
      <c r="Z309" s="26" t="n"/>
    </row>
    <row r="310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26" t="n"/>
      <c r="X310" s="26" t="n"/>
      <c r="Y310" s="26" t="n"/>
      <c r="Z310" s="26" t="n"/>
    </row>
    <row r="311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6" t="n"/>
      <c r="Q311" s="26" t="n"/>
      <c r="R311" s="26" t="n"/>
      <c r="S311" s="26" t="n"/>
      <c r="T311" s="26" t="n"/>
      <c r="U311" s="26" t="n"/>
      <c r="V311" s="26" t="n"/>
      <c r="W311" s="26" t="n"/>
      <c r="X311" s="26" t="n"/>
      <c r="Y311" s="26" t="n"/>
      <c r="Z311" s="26" t="n"/>
    </row>
    <row r="312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26" t="n"/>
      <c r="X312" s="26" t="n"/>
      <c r="Y312" s="26" t="n"/>
      <c r="Z312" s="26" t="n"/>
    </row>
    <row r="313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n"/>
      <c r="R313" s="26" t="n"/>
      <c r="S313" s="26" t="n"/>
      <c r="T313" s="26" t="n"/>
      <c r="U313" s="26" t="n"/>
      <c r="V313" s="26" t="n"/>
      <c r="W313" s="26" t="n"/>
      <c r="X313" s="26" t="n"/>
      <c r="Y313" s="26" t="n"/>
      <c r="Z313" s="26" t="n"/>
    </row>
    <row r="314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26" t="n"/>
      <c r="X314" s="26" t="n"/>
      <c r="Y314" s="26" t="n"/>
      <c r="Z314" s="26" t="n"/>
    </row>
    <row r="315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R315" s="26" t="n"/>
      <c r="S315" s="26" t="n"/>
      <c r="T315" s="26" t="n"/>
      <c r="U315" s="26" t="n"/>
      <c r="V315" s="26" t="n"/>
      <c r="W315" s="26" t="n"/>
      <c r="X315" s="26" t="n"/>
      <c r="Y315" s="26" t="n"/>
      <c r="Z315" s="26" t="n"/>
    </row>
    <row r="316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26" t="n"/>
      <c r="X316" s="26" t="n"/>
      <c r="Y316" s="26" t="n"/>
      <c r="Z316" s="26" t="n"/>
    </row>
    <row r="317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n"/>
      <c r="R317" s="26" t="n"/>
      <c r="S317" s="26" t="n"/>
      <c r="T317" s="26" t="n"/>
      <c r="U317" s="26" t="n"/>
      <c r="V317" s="26" t="n"/>
      <c r="W317" s="26" t="n"/>
      <c r="X317" s="26" t="n"/>
      <c r="Y317" s="26" t="n"/>
      <c r="Z317" s="26" t="n"/>
    </row>
    <row r="318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26" t="n"/>
      <c r="Y318" s="26" t="n"/>
      <c r="Z318" s="26" t="n"/>
    </row>
    <row r="319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n"/>
      <c r="U319" s="26" t="n"/>
      <c r="V319" s="26" t="n"/>
      <c r="W319" s="26" t="n"/>
      <c r="X319" s="26" t="n"/>
      <c r="Y319" s="26" t="n"/>
      <c r="Z319" s="26" t="n"/>
    </row>
    <row r="320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26" t="n"/>
      <c r="Y320" s="26" t="n"/>
      <c r="Z320" s="26" t="n"/>
    </row>
    <row r="321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n"/>
      <c r="R321" s="26" t="n"/>
      <c r="S321" s="26" t="n"/>
      <c r="T321" s="26" t="n"/>
      <c r="U321" s="26" t="n"/>
      <c r="V321" s="26" t="n"/>
      <c r="W321" s="26" t="n"/>
      <c r="X321" s="26" t="n"/>
      <c r="Y321" s="26" t="n"/>
      <c r="Z321" s="26" t="n"/>
    </row>
    <row r="322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26" t="n"/>
      <c r="X322" s="26" t="n"/>
      <c r="Y322" s="26" t="n"/>
      <c r="Z322" s="26" t="n"/>
    </row>
    <row r="323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n"/>
      <c r="U323" s="26" t="n"/>
      <c r="V323" s="26" t="n"/>
      <c r="W323" s="26" t="n"/>
      <c r="X323" s="26" t="n"/>
      <c r="Y323" s="26" t="n"/>
      <c r="Z323" s="26" t="n"/>
    </row>
    <row r="324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26" t="n"/>
      <c r="X324" s="26" t="n"/>
      <c r="Y324" s="26" t="n"/>
      <c r="Z324" s="26" t="n"/>
    </row>
    <row r="325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26" t="n"/>
      <c r="Y325" s="26" t="n"/>
      <c r="Z325" s="26" t="n"/>
    </row>
    <row r="326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26" t="n"/>
      <c r="X326" s="26" t="n"/>
      <c r="Y326" s="26" t="n"/>
      <c r="Z326" s="26" t="n"/>
    </row>
    <row r="327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n"/>
      <c r="U327" s="26" t="n"/>
      <c r="V327" s="26" t="n"/>
      <c r="W327" s="26" t="n"/>
      <c r="X327" s="26" t="n"/>
      <c r="Y327" s="26" t="n"/>
      <c r="Z327" s="26" t="n"/>
    </row>
    <row r="328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26" t="n"/>
      <c r="X328" s="26" t="n"/>
      <c r="Y328" s="26" t="n"/>
      <c r="Z328" s="26" t="n"/>
    </row>
    <row r="329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6" t="n"/>
      <c r="Q329" s="26" t="n"/>
      <c r="R329" s="26" t="n"/>
      <c r="S329" s="26" t="n"/>
      <c r="T329" s="26" t="n"/>
      <c r="U329" s="26" t="n"/>
      <c r="V329" s="26" t="n"/>
      <c r="W329" s="26" t="n"/>
      <c r="X329" s="26" t="n"/>
      <c r="Y329" s="26" t="n"/>
      <c r="Z329" s="26" t="n"/>
    </row>
    <row r="330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26" t="n"/>
      <c r="X330" s="26" t="n"/>
      <c r="Y330" s="26" t="n"/>
      <c r="Z330" s="26" t="n"/>
    </row>
    <row r="331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6" t="n"/>
      <c r="Q331" s="26" t="n"/>
      <c r="R331" s="26" t="n"/>
      <c r="S331" s="26" t="n"/>
      <c r="T331" s="26" t="n"/>
      <c r="U331" s="26" t="n"/>
      <c r="V331" s="26" t="n"/>
      <c r="W331" s="26" t="n"/>
      <c r="X331" s="26" t="n"/>
      <c r="Y331" s="26" t="n"/>
      <c r="Z331" s="26" t="n"/>
    </row>
    <row r="332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26" t="n"/>
      <c r="X332" s="26" t="n"/>
      <c r="Y332" s="26" t="n"/>
      <c r="Z332" s="26" t="n"/>
    </row>
    <row r="333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6" t="n"/>
      <c r="Q333" s="26" t="n"/>
      <c r="R333" s="26" t="n"/>
      <c r="S333" s="26" t="n"/>
      <c r="T333" s="26" t="n"/>
      <c r="U333" s="26" t="n"/>
      <c r="V333" s="26" t="n"/>
      <c r="W333" s="26" t="n"/>
      <c r="X333" s="26" t="n"/>
      <c r="Y333" s="26" t="n"/>
      <c r="Z333" s="26" t="n"/>
    </row>
    <row r="334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26" t="n"/>
      <c r="X334" s="26" t="n"/>
      <c r="Y334" s="26" t="n"/>
      <c r="Z334" s="26" t="n"/>
    </row>
    <row r="335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6" t="n"/>
      <c r="Q335" s="26" t="n"/>
      <c r="R335" s="26" t="n"/>
      <c r="S335" s="26" t="n"/>
      <c r="T335" s="26" t="n"/>
      <c r="U335" s="26" t="n"/>
      <c r="V335" s="26" t="n"/>
      <c r="W335" s="26" t="n"/>
      <c r="X335" s="26" t="n"/>
      <c r="Y335" s="26" t="n"/>
      <c r="Z335" s="26" t="n"/>
    </row>
    <row r="336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26" t="n"/>
      <c r="X336" s="26" t="n"/>
      <c r="Y336" s="26" t="n"/>
      <c r="Z336" s="26" t="n"/>
    </row>
    <row r="337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6" t="n"/>
      <c r="Q337" s="26" t="n"/>
      <c r="R337" s="26" t="n"/>
      <c r="S337" s="26" t="n"/>
      <c r="T337" s="26" t="n"/>
      <c r="U337" s="26" t="n"/>
      <c r="V337" s="26" t="n"/>
      <c r="W337" s="26" t="n"/>
      <c r="X337" s="26" t="n"/>
      <c r="Y337" s="26" t="n"/>
      <c r="Z337" s="26" t="n"/>
    </row>
    <row r="338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26" t="n"/>
      <c r="X338" s="26" t="n"/>
      <c r="Y338" s="26" t="n"/>
      <c r="Z338" s="26" t="n"/>
    </row>
    <row r="339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26" t="n"/>
      <c r="Y339" s="26" t="n"/>
      <c r="Z339" s="26" t="n"/>
    </row>
    <row r="340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26" t="n"/>
      <c r="X340" s="26" t="n"/>
      <c r="Y340" s="26" t="n"/>
      <c r="Z340" s="26" t="n"/>
    </row>
    <row r="341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n"/>
      <c r="U341" s="26" t="n"/>
      <c r="V341" s="26" t="n"/>
      <c r="W341" s="26" t="n"/>
      <c r="X341" s="26" t="n"/>
      <c r="Y341" s="26" t="n"/>
      <c r="Z341" s="26" t="n"/>
    </row>
    <row r="342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26" t="n"/>
      <c r="X342" s="26" t="n"/>
      <c r="Y342" s="26" t="n"/>
      <c r="Z342" s="26" t="n"/>
    </row>
    <row r="343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6" t="n"/>
      <c r="Q343" s="26" t="n"/>
      <c r="R343" s="26" t="n"/>
      <c r="S343" s="26" t="n"/>
      <c r="T343" s="26" t="n"/>
      <c r="U343" s="26" t="n"/>
      <c r="V343" s="26" t="n"/>
      <c r="W343" s="26" t="n"/>
      <c r="X343" s="26" t="n"/>
      <c r="Y343" s="26" t="n"/>
      <c r="Z343" s="26" t="n"/>
    </row>
    <row r="344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26" t="n"/>
      <c r="X344" s="26" t="n"/>
      <c r="Y344" s="26" t="n"/>
      <c r="Z344" s="26" t="n"/>
    </row>
    <row r="345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6" t="n"/>
      <c r="Q345" s="26" t="n"/>
      <c r="R345" s="26" t="n"/>
      <c r="S345" s="26" t="n"/>
      <c r="T345" s="26" t="n"/>
      <c r="U345" s="26" t="n"/>
      <c r="V345" s="26" t="n"/>
      <c r="W345" s="26" t="n"/>
      <c r="X345" s="26" t="n"/>
      <c r="Y345" s="26" t="n"/>
      <c r="Z345" s="26" t="n"/>
    </row>
    <row r="346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26" t="n"/>
      <c r="X346" s="26" t="n"/>
      <c r="Y346" s="26" t="n"/>
      <c r="Z346" s="26" t="n"/>
    </row>
    <row r="347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n"/>
      <c r="U347" s="26" t="n"/>
      <c r="V347" s="26" t="n"/>
      <c r="W347" s="26" t="n"/>
      <c r="X347" s="26" t="n"/>
      <c r="Y347" s="26" t="n"/>
      <c r="Z347" s="26" t="n"/>
    </row>
    <row r="348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26" t="n"/>
      <c r="X348" s="26" t="n"/>
      <c r="Y348" s="26" t="n"/>
      <c r="Z348" s="26" t="n"/>
    </row>
    <row r="349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26" t="n"/>
      <c r="Y349" s="26" t="n"/>
      <c r="Z349" s="26" t="n"/>
    </row>
    <row r="350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26" t="n"/>
      <c r="X350" s="26" t="n"/>
      <c r="Y350" s="26" t="n"/>
      <c r="Z350" s="26" t="n"/>
    </row>
    <row r="351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6" t="n"/>
      <c r="Q351" s="26" t="n"/>
      <c r="R351" s="26" t="n"/>
      <c r="S351" s="26" t="n"/>
      <c r="T351" s="26" t="n"/>
      <c r="U351" s="26" t="n"/>
      <c r="V351" s="26" t="n"/>
      <c r="W351" s="26" t="n"/>
      <c r="X351" s="26" t="n"/>
      <c r="Y351" s="26" t="n"/>
      <c r="Z351" s="26" t="n"/>
    </row>
    <row r="352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26" t="n"/>
      <c r="X352" s="26" t="n"/>
      <c r="Y352" s="26" t="n"/>
      <c r="Z352" s="26" t="n"/>
    </row>
    <row r="353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n"/>
      <c r="R353" s="26" t="n"/>
      <c r="S353" s="26" t="n"/>
      <c r="T353" s="26" t="n"/>
      <c r="U353" s="26" t="n"/>
      <c r="V353" s="26" t="n"/>
      <c r="W353" s="26" t="n"/>
      <c r="X353" s="26" t="n"/>
      <c r="Y353" s="26" t="n"/>
      <c r="Z353" s="26" t="n"/>
    </row>
    <row r="354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26" t="n"/>
      <c r="X354" s="26" t="n"/>
      <c r="Y354" s="26" t="n"/>
      <c r="Z354" s="26" t="n"/>
    </row>
    <row r="355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R355" s="26" t="n"/>
      <c r="S355" s="26" t="n"/>
      <c r="T355" s="26" t="n"/>
      <c r="U355" s="26" t="n"/>
      <c r="V355" s="26" t="n"/>
      <c r="W355" s="26" t="n"/>
      <c r="X355" s="26" t="n"/>
      <c r="Y355" s="26" t="n"/>
      <c r="Z355" s="26" t="n"/>
    </row>
    <row r="356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26" t="n"/>
      <c r="X356" s="26" t="n"/>
      <c r="Y356" s="26" t="n"/>
      <c r="Z356" s="26" t="n"/>
    </row>
    <row r="357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n"/>
      <c r="R357" s="26" t="n"/>
      <c r="S357" s="26" t="n"/>
      <c r="T357" s="26" t="n"/>
      <c r="U357" s="26" t="n"/>
      <c r="V357" s="26" t="n"/>
      <c r="W357" s="26" t="n"/>
      <c r="X357" s="26" t="n"/>
      <c r="Y357" s="26" t="n"/>
      <c r="Z357" s="26" t="n"/>
    </row>
    <row r="358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26" t="n"/>
      <c r="X358" s="26" t="n"/>
      <c r="Y358" s="26" t="n"/>
      <c r="Z358" s="26" t="n"/>
    </row>
    <row r="359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26" t="n"/>
      <c r="Y359" s="26" t="n"/>
      <c r="Z359" s="26" t="n"/>
    </row>
    <row r="360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26" t="n"/>
      <c r="X360" s="26" t="n"/>
      <c r="Y360" s="26" t="n"/>
      <c r="Z360" s="26" t="n"/>
    </row>
    <row r="361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n"/>
      <c r="U361" s="26" t="n"/>
      <c r="V361" s="26" t="n"/>
      <c r="W361" s="26" t="n"/>
      <c r="X361" s="26" t="n"/>
      <c r="Y361" s="26" t="n"/>
      <c r="Z361" s="26" t="n"/>
    </row>
    <row r="362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26" t="n"/>
      <c r="X362" s="26" t="n"/>
      <c r="Y362" s="26" t="n"/>
      <c r="Z362" s="26" t="n"/>
    </row>
    <row r="363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6" t="n"/>
      <c r="Q363" s="26" t="n"/>
      <c r="R363" s="26" t="n"/>
      <c r="S363" s="26" t="n"/>
      <c r="T363" s="26" t="n"/>
      <c r="U363" s="26" t="n"/>
      <c r="V363" s="26" t="n"/>
      <c r="W363" s="26" t="n"/>
      <c r="X363" s="26" t="n"/>
      <c r="Y363" s="26" t="n"/>
      <c r="Z363" s="26" t="n"/>
    </row>
    <row r="364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26" t="n"/>
      <c r="X364" s="26" t="n"/>
      <c r="Y364" s="26" t="n"/>
      <c r="Z364" s="26" t="n"/>
    </row>
    <row r="365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n"/>
      <c r="U365" s="26" t="n"/>
      <c r="V365" s="26" t="n"/>
      <c r="W365" s="26" t="n"/>
      <c r="X365" s="26" t="n"/>
      <c r="Y365" s="26" t="n"/>
      <c r="Z365" s="26" t="n"/>
    </row>
    <row r="366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26" t="n"/>
      <c r="X366" s="26" t="n"/>
      <c r="Y366" s="26" t="n"/>
      <c r="Z366" s="26" t="n"/>
    </row>
    <row r="367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6" t="n"/>
      <c r="Q367" s="26" t="n"/>
      <c r="R367" s="26" t="n"/>
      <c r="S367" s="26" t="n"/>
      <c r="T367" s="26" t="n"/>
      <c r="U367" s="26" t="n"/>
      <c r="V367" s="26" t="n"/>
      <c r="W367" s="26" t="n"/>
      <c r="X367" s="26" t="n"/>
      <c r="Y367" s="26" t="n"/>
      <c r="Z367" s="26" t="n"/>
    </row>
    <row r="368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26" t="n"/>
      <c r="X368" s="26" t="n"/>
      <c r="Y368" s="26" t="n"/>
      <c r="Z368" s="26" t="n"/>
    </row>
    <row r="369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26" t="n"/>
      <c r="Y369" s="26" t="n"/>
      <c r="Z369" s="26" t="n"/>
    </row>
    <row r="370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26" t="n"/>
      <c r="X370" s="26" t="n"/>
      <c r="Y370" s="26" t="n"/>
      <c r="Z370" s="26" t="n"/>
    </row>
    <row r="371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6" t="n"/>
      <c r="Q371" s="26" t="n"/>
      <c r="R371" s="26" t="n"/>
      <c r="S371" s="26" t="n"/>
      <c r="T371" s="26" t="n"/>
      <c r="U371" s="26" t="n"/>
      <c r="V371" s="26" t="n"/>
      <c r="W371" s="26" t="n"/>
      <c r="X371" s="26" t="n"/>
      <c r="Y371" s="26" t="n"/>
      <c r="Z371" s="26" t="n"/>
    </row>
    <row r="372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26" t="n"/>
      <c r="X372" s="26" t="n"/>
      <c r="Y372" s="26" t="n"/>
      <c r="Z372" s="26" t="n"/>
    </row>
    <row r="373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n"/>
      <c r="U373" s="26" t="n"/>
      <c r="V373" s="26" t="n"/>
      <c r="W373" s="26" t="n"/>
      <c r="X373" s="26" t="n"/>
      <c r="Y373" s="26" t="n"/>
      <c r="Z373" s="26" t="n"/>
    </row>
    <row r="374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26" t="n"/>
      <c r="X374" s="26" t="n"/>
      <c r="Y374" s="26" t="n"/>
      <c r="Z374" s="26" t="n"/>
    </row>
    <row r="375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n"/>
      <c r="U375" s="26" t="n"/>
      <c r="V375" s="26" t="n"/>
      <c r="W375" s="26" t="n"/>
      <c r="X375" s="26" t="n"/>
      <c r="Y375" s="26" t="n"/>
      <c r="Z375" s="26" t="n"/>
    </row>
    <row r="376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26" t="n"/>
      <c r="X376" s="26" t="n"/>
      <c r="Y376" s="26" t="n"/>
      <c r="Z376" s="26" t="n"/>
    </row>
    <row r="377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6" t="n"/>
      <c r="Q377" s="26" t="n"/>
      <c r="R377" s="26" t="n"/>
      <c r="S377" s="26" t="n"/>
      <c r="T377" s="26" t="n"/>
      <c r="U377" s="26" t="n"/>
      <c r="V377" s="26" t="n"/>
      <c r="W377" s="26" t="n"/>
      <c r="X377" s="26" t="n"/>
      <c r="Y377" s="26" t="n"/>
      <c r="Z377" s="26" t="n"/>
    </row>
    <row r="378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26" t="n"/>
      <c r="X378" s="26" t="n"/>
      <c r="Y378" s="26" t="n"/>
      <c r="Z378" s="26" t="n"/>
    </row>
    <row r="379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26" t="n"/>
      <c r="Y379" s="26" t="n"/>
      <c r="Z379" s="26" t="n"/>
    </row>
    <row r="380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26" t="n"/>
      <c r="X380" s="26" t="n"/>
      <c r="Y380" s="26" t="n"/>
      <c r="Z380" s="26" t="n"/>
    </row>
    <row r="381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n"/>
      <c r="R381" s="26" t="n"/>
      <c r="S381" s="26" t="n"/>
      <c r="T381" s="26" t="n"/>
      <c r="U381" s="26" t="n"/>
      <c r="V381" s="26" t="n"/>
      <c r="W381" s="26" t="n"/>
      <c r="X381" s="26" t="n"/>
      <c r="Y381" s="26" t="n"/>
      <c r="Z381" s="26" t="n"/>
    </row>
    <row r="382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26" t="n"/>
      <c r="X382" s="26" t="n"/>
      <c r="Y382" s="26" t="n"/>
      <c r="Z382" s="26" t="n"/>
    </row>
    <row r="383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6" t="n"/>
      <c r="Q383" s="26" t="n"/>
      <c r="R383" s="26" t="n"/>
      <c r="S383" s="26" t="n"/>
      <c r="T383" s="26" t="n"/>
      <c r="U383" s="26" t="n"/>
      <c r="V383" s="26" t="n"/>
      <c r="W383" s="26" t="n"/>
      <c r="X383" s="26" t="n"/>
      <c r="Y383" s="26" t="n"/>
      <c r="Z383" s="26" t="n"/>
    </row>
    <row r="384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26" t="n"/>
      <c r="X384" s="26" t="n"/>
      <c r="Y384" s="26" t="n"/>
      <c r="Z384" s="26" t="n"/>
    </row>
    <row r="385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6" t="n"/>
      <c r="Q385" s="26" t="n"/>
      <c r="R385" s="26" t="n"/>
      <c r="S385" s="26" t="n"/>
      <c r="T385" s="26" t="n"/>
      <c r="U385" s="26" t="n"/>
      <c r="V385" s="26" t="n"/>
      <c r="W385" s="26" t="n"/>
      <c r="X385" s="26" t="n"/>
      <c r="Y385" s="26" t="n"/>
      <c r="Z385" s="26" t="n"/>
    </row>
    <row r="386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26" t="n"/>
      <c r="X386" s="26" t="n"/>
      <c r="Y386" s="26" t="n"/>
      <c r="Z386" s="26" t="n"/>
    </row>
    <row r="387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n"/>
      <c r="U387" s="26" t="n"/>
      <c r="V387" s="26" t="n"/>
      <c r="W387" s="26" t="n"/>
      <c r="X387" s="26" t="n"/>
      <c r="Y387" s="26" t="n"/>
      <c r="Z387" s="26" t="n"/>
    </row>
    <row r="388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26" t="n"/>
      <c r="X388" s="26" t="n"/>
      <c r="Y388" s="26" t="n"/>
      <c r="Z388" s="26" t="n"/>
    </row>
    <row r="389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6" t="n"/>
      <c r="Q389" s="26" t="n"/>
      <c r="R389" s="26" t="n"/>
      <c r="S389" s="26" t="n"/>
      <c r="T389" s="26" t="n"/>
      <c r="U389" s="26" t="n"/>
      <c r="V389" s="26" t="n"/>
      <c r="W389" s="26" t="n"/>
      <c r="X389" s="26" t="n"/>
      <c r="Y389" s="26" t="n"/>
      <c r="Z389" s="26" t="n"/>
    </row>
    <row r="390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26" t="n"/>
      <c r="X390" s="26" t="n"/>
      <c r="Y390" s="26" t="n"/>
      <c r="Z390" s="26" t="n"/>
    </row>
    <row r="391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6" t="n"/>
      <c r="Q391" s="26" t="n"/>
      <c r="R391" s="26" t="n"/>
      <c r="S391" s="26" t="n"/>
      <c r="T391" s="26" t="n"/>
      <c r="U391" s="26" t="n"/>
      <c r="V391" s="26" t="n"/>
      <c r="W391" s="26" t="n"/>
      <c r="X391" s="26" t="n"/>
      <c r="Y391" s="26" t="n"/>
      <c r="Z391" s="26" t="n"/>
    </row>
    <row r="392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26" t="n"/>
      <c r="X392" s="26" t="n"/>
      <c r="Y392" s="26" t="n"/>
      <c r="Z392" s="26" t="n"/>
    </row>
    <row r="393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n"/>
      <c r="R393" s="26" t="n"/>
      <c r="S393" s="26" t="n"/>
      <c r="T393" s="26" t="n"/>
      <c r="U393" s="26" t="n"/>
      <c r="V393" s="26" t="n"/>
      <c r="W393" s="26" t="n"/>
      <c r="X393" s="26" t="n"/>
      <c r="Y393" s="26" t="n"/>
      <c r="Z393" s="26" t="n"/>
    </row>
    <row r="394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26" t="n"/>
      <c r="X394" s="26" t="n"/>
      <c r="Y394" s="26" t="n"/>
      <c r="Z394" s="26" t="n"/>
    </row>
    <row r="395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n"/>
      <c r="U395" s="26" t="n"/>
      <c r="V395" s="26" t="n"/>
      <c r="W395" s="26" t="n"/>
      <c r="X395" s="26" t="n"/>
      <c r="Y395" s="26" t="n"/>
      <c r="Z395" s="26" t="n"/>
    </row>
    <row r="396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26" t="n"/>
      <c r="X396" s="26" t="n"/>
      <c r="Y396" s="26" t="n"/>
      <c r="Z396" s="26" t="n"/>
    </row>
    <row r="397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n"/>
      <c r="U397" s="26" t="n"/>
      <c r="V397" s="26" t="n"/>
      <c r="W397" s="26" t="n"/>
      <c r="X397" s="26" t="n"/>
      <c r="Y397" s="26" t="n"/>
      <c r="Z397" s="26" t="n"/>
    </row>
    <row r="398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26" t="n"/>
      <c r="X398" s="26" t="n"/>
      <c r="Y398" s="26" t="n"/>
      <c r="Z398" s="26" t="n"/>
    </row>
    <row r="399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  <c r="R399" s="26" t="n"/>
      <c r="S399" s="26" t="n"/>
      <c r="T399" s="26" t="n"/>
      <c r="U399" s="26" t="n"/>
      <c r="V399" s="26" t="n"/>
      <c r="W399" s="26" t="n"/>
      <c r="X399" s="26" t="n"/>
      <c r="Y399" s="26" t="n"/>
      <c r="Z399" s="26" t="n"/>
    </row>
    <row r="400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26" t="n"/>
      <c r="X400" s="26" t="n"/>
      <c r="Y400" s="26" t="n"/>
      <c r="Z400" s="26" t="n"/>
    </row>
    <row r="401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n"/>
      <c r="R401" s="26" t="n"/>
      <c r="S401" s="26" t="n"/>
      <c r="T401" s="26" t="n"/>
      <c r="U401" s="26" t="n"/>
      <c r="V401" s="26" t="n"/>
      <c r="W401" s="26" t="n"/>
      <c r="X401" s="26" t="n"/>
      <c r="Y401" s="26" t="n"/>
      <c r="Z401" s="26" t="n"/>
    </row>
    <row r="402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26" t="n"/>
      <c r="X402" s="26" t="n"/>
      <c r="Y402" s="26" t="n"/>
      <c r="Z402" s="26" t="n"/>
    </row>
    <row r="403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6" t="n"/>
      <c r="Q403" s="26" t="n"/>
      <c r="R403" s="26" t="n"/>
      <c r="S403" s="26" t="n"/>
      <c r="T403" s="26" t="n"/>
      <c r="U403" s="26" t="n"/>
      <c r="V403" s="26" t="n"/>
      <c r="W403" s="26" t="n"/>
      <c r="X403" s="26" t="n"/>
      <c r="Y403" s="26" t="n"/>
      <c r="Z403" s="26" t="n"/>
    </row>
    <row r="404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26" t="n"/>
      <c r="X404" s="26" t="n"/>
      <c r="Y404" s="26" t="n"/>
      <c r="Z404" s="26" t="n"/>
    </row>
    <row r="405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6" t="n"/>
      <c r="Q405" s="26" t="n"/>
      <c r="R405" s="26" t="n"/>
      <c r="S405" s="26" t="n"/>
      <c r="T405" s="26" t="n"/>
      <c r="U405" s="26" t="n"/>
      <c r="V405" s="26" t="n"/>
      <c r="W405" s="26" t="n"/>
      <c r="X405" s="26" t="n"/>
      <c r="Y405" s="26" t="n"/>
      <c r="Z405" s="26" t="n"/>
    </row>
    <row r="406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26" t="n"/>
      <c r="X406" s="26" t="n"/>
      <c r="Y406" s="26" t="n"/>
      <c r="Z406" s="26" t="n"/>
    </row>
    <row r="407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n"/>
      <c r="U407" s="26" t="n"/>
      <c r="V407" s="26" t="n"/>
      <c r="W407" s="26" t="n"/>
      <c r="X407" s="26" t="n"/>
      <c r="Y407" s="26" t="n"/>
      <c r="Z407" s="26" t="n"/>
    </row>
    <row r="408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26" t="n"/>
      <c r="X408" s="26" t="n"/>
      <c r="Y408" s="26" t="n"/>
      <c r="Z408" s="26" t="n"/>
    </row>
    <row r="409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26" t="n"/>
      <c r="K409" s="26" t="n"/>
      <c r="L409" s="26" t="n"/>
      <c r="M409" s="26" t="n"/>
      <c r="N409" s="26" t="n"/>
      <c r="O409" s="26" t="n"/>
      <c r="P409" s="26" t="n"/>
      <c r="Q409" s="26" t="n"/>
      <c r="R409" s="26" t="n"/>
      <c r="S409" s="26" t="n"/>
      <c r="T409" s="26" t="n"/>
      <c r="U409" s="26" t="n"/>
      <c r="V409" s="26" t="n"/>
      <c r="W409" s="26" t="n"/>
      <c r="X409" s="26" t="n"/>
      <c r="Y409" s="26" t="n"/>
      <c r="Z409" s="26" t="n"/>
    </row>
    <row r="410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26" t="n"/>
      <c r="X410" s="26" t="n"/>
      <c r="Y410" s="26" t="n"/>
      <c r="Z410" s="26" t="n"/>
    </row>
    <row r="411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26" t="n"/>
      <c r="K411" s="26" t="n"/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n"/>
      <c r="U411" s="26" t="n"/>
      <c r="V411" s="26" t="n"/>
      <c r="W411" s="26" t="n"/>
      <c r="X411" s="26" t="n"/>
      <c r="Y411" s="26" t="n"/>
      <c r="Z411" s="26" t="n"/>
    </row>
    <row r="412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26" t="n"/>
      <c r="X412" s="26" t="n"/>
      <c r="Y412" s="26" t="n"/>
      <c r="Z412" s="26" t="n"/>
    </row>
    <row r="413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26" t="n"/>
      <c r="K413" s="26" t="n"/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n"/>
      <c r="U413" s="26" t="n"/>
      <c r="V413" s="26" t="n"/>
      <c r="W413" s="26" t="n"/>
      <c r="X413" s="26" t="n"/>
      <c r="Y413" s="26" t="n"/>
      <c r="Z413" s="26" t="n"/>
    </row>
    <row r="414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26" t="n"/>
      <c r="X414" s="26" t="n"/>
      <c r="Y414" s="26" t="n"/>
      <c r="Z414" s="26" t="n"/>
    </row>
    <row r="415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26" t="n"/>
      <c r="K415" s="26" t="n"/>
      <c r="L415" s="26" t="n"/>
      <c r="M415" s="26" t="n"/>
      <c r="N415" s="26" t="n"/>
      <c r="O415" s="26" t="n"/>
      <c r="P415" s="26" t="n"/>
      <c r="Q415" s="26" t="n"/>
      <c r="R415" s="26" t="n"/>
      <c r="S415" s="26" t="n"/>
      <c r="T415" s="26" t="n"/>
      <c r="U415" s="26" t="n"/>
      <c r="V415" s="26" t="n"/>
      <c r="W415" s="26" t="n"/>
      <c r="X415" s="26" t="n"/>
      <c r="Y415" s="26" t="n"/>
      <c r="Z415" s="26" t="n"/>
    </row>
    <row r="416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26" t="n"/>
      <c r="X416" s="26" t="n"/>
      <c r="Y416" s="26" t="n"/>
      <c r="Z416" s="26" t="n"/>
    </row>
    <row r="417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6" t="n"/>
      <c r="P417" s="26" t="n"/>
      <c r="Q417" s="26" t="n"/>
      <c r="R417" s="26" t="n"/>
      <c r="S417" s="26" t="n"/>
      <c r="T417" s="26" t="n"/>
      <c r="U417" s="26" t="n"/>
      <c r="V417" s="26" t="n"/>
      <c r="W417" s="26" t="n"/>
      <c r="X417" s="26" t="n"/>
      <c r="Y417" s="26" t="n"/>
      <c r="Z417" s="26" t="n"/>
    </row>
    <row r="418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26" t="n"/>
      <c r="X418" s="26" t="n"/>
      <c r="Y418" s="26" t="n"/>
      <c r="Z418" s="26" t="n"/>
    </row>
    <row r="419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26" t="n"/>
      <c r="K419" s="26" t="n"/>
      <c r="L419" s="26" t="n"/>
      <c r="M419" s="26" t="n"/>
      <c r="N419" s="26" t="n"/>
      <c r="O419" s="26" t="n"/>
      <c r="P419" s="26" t="n"/>
      <c r="Q419" s="26" t="n"/>
      <c r="R419" s="26" t="n"/>
      <c r="S419" s="26" t="n"/>
      <c r="T419" s="26" t="n"/>
      <c r="U419" s="26" t="n"/>
      <c r="V419" s="26" t="n"/>
      <c r="W419" s="26" t="n"/>
      <c r="X419" s="26" t="n"/>
      <c r="Y419" s="26" t="n"/>
      <c r="Z419" s="26" t="n"/>
    </row>
    <row r="420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26" t="n"/>
      <c r="X420" s="26" t="n"/>
      <c r="Y420" s="26" t="n"/>
      <c r="Z420" s="26" t="n"/>
    </row>
    <row r="421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26" t="n"/>
      <c r="K421" s="26" t="n"/>
      <c r="L421" s="26" t="n"/>
      <c r="M421" s="26" t="n"/>
      <c r="N421" s="26" t="n"/>
      <c r="O421" s="26" t="n"/>
      <c r="P421" s="26" t="n"/>
      <c r="Q421" s="26" t="n"/>
      <c r="R421" s="26" t="n"/>
      <c r="S421" s="26" t="n"/>
      <c r="T421" s="26" t="n"/>
      <c r="U421" s="26" t="n"/>
      <c r="V421" s="26" t="n"/>
      <c r="W421" s="26" t="n"/>
      <c r="X421" s="26" t="n"/>
      <c r="Y421" s="26" t="n"/>
      <c r="Z421" s="26" t="n"/>
    </row>
    <row r="422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26" t="n"/>
      <c r="X422" s="26" t="n"/>
      <c r="Y422" s="26" t="n"/>
      <c r="Z422" s="26" t="n"/>
    </row>
    <row r="423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6" t="n"/>
      <c r="P423" s="26" t="n"/>
      <c r="Q423" s="26" t="n"/>
      <c r="R423" s="26" t="n"/>
      <c r="S423" s="26" t="n"/>
      <c r="T423" s="26" t="n"/>
      <c r="U423" s="26" t="n"/>
      <c r="V423" s="26" t="n"/>
      <c r="W423" s="26" t="n"/>
      <c r="X423" s="26" t="n"/>
      <c r="Y423" s="26" t="n"/>
      <c r="Z423" s="26" t="n"/>
    </row>
    <row r="424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26" t="n"/>
      <c r="X424" s="26" t="n"/>
      <c r="Y424" s="26" t="n"/>
      <c r="Z424" s="26" t="n"/>
    </row>
    <row r="425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26" t="n"/>
      <c r="K425" s="26" t="n"/>
      <c r="L425" s="26" t="n"/>
      <c r="M425" s="26" t="n"/>
      <c r="N425" s="26" t="n"/>
      <c r="O425" s="26" t="n"/>
      <c r="P425" s="26" t="n"/>
      <c r="Q425" s="26" t="n"/>
      <c r="R425" s="26" t="n"/>
      <c r="S425" s="26" t="n"/>
      <c r="T425" s="26" t="n"/>
      <c r="U425" s="26" t="n"/>
      <c r="V425" s="26" t="n"/>
      <c r="W425" s="26" t="n"/>
      <c r="X425" s="26" t="n"/>
      <c r="Y425" s="26" t="n"/>
      <c r="Z425" s="26" t="n"/>
    </row>
    <row r="426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26" t="n"/>
      <c r="X426" s="26" t="n"/>
      <c r="Y426" s="26" t="n"/>
      <c r="Z426" s="26" t="n"/>
    </row>
    <row r="427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n"/>
      <c r="R427" s="26" t="n"/>
      <c r="S427" s="26" t="n"/>
      <c r="T427" s="26" t="n"/>
      <c r="U427" s="26" t="n"/>
      <c r="V427" s="26" t="n"/>
      <c r="W427" s="26" t="n"/>
      <c r="X427" s="26" t="n"/>
      <c r="Y427" s="26" t="n"/>
      <c r="Z427" s="26" t="n"/>
    </row>
    <row r="428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26" t="n"/>
      <c r="X428" s="26" t="n"/>
      <c r="Y428" s="26" t="n"/>
      <c r="Z428" s="26" t="n"/>
    </row>
    <row r="429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n"/>
      <c r="R429" s="26" t="n"/>
      <c r="S429" s="26" t="n"/>
      <c r="T429" s="26" t="n"/>
      <c r="U429" s="26" t="n"/>
      <c r="V429" s="26" t="n"/>
      <c r="W429" s="26" t="n"/>
      <c r="X429" s="26" t="n"/>
      <c r="Y429" s="26" t="n"/>
      <c r="Z429" s="26" t="n"/>
    </row>
    <row r="430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26" t="n"/>
      <c r="X430" s="26" t="n"/>
      <c r="Y430" s="26" t="n"/>
      <c r="Z430" s="26" t="n"/>
    </row>
    <row r="431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n"/>
      <c r="R431" s="26" t="n"/>
      <c r="S431" s="26" t="n"/>
      <c r="T431" s="26" t="n"/>
      <c r="U431" s="26" t="n"/>
      <c r="V431" s="26" t="n"/>
      <c r="W431" s="26" t="n"/>
      <c r="X431" s="26" t="n"/>
      <c r="Y431" s="26" t="n"/>
      <c r="Z431" s="26" t="n"/>
    </row>
    <row r="432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26" t="n"/>
      <c r="X432" s="26" t="n"/>
      <c r="Y432" s="26" t="n"/>
      <c r="Z432" s="26" t="n"/>
    </row>
    <row r="433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n"/>
      <c r="R433" s="26" t="n"/>
      <c r="S433" s="26" t="n"/>
      <c r="T433" s="26" t="n"/>
      <c r="U433" s="26" t="n"/>
      <c r="V433" s="26" t="n"/>
      <c r="W433" s="26" t="n"/>
      <c r="X433" s="26" t="n"/>
      <c r="Y433" s="26" t="n"/>
      <c r="Z433" s="26" t="n"/>
    </row>
    <row r="434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26" t="n"/>
      <c r="X434" s="26" t="n"/>
      <c r="Y434" s="26" t="n"/>
      <c r="Z434" s="26" t="n"/>
    </row>
    <row r="435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n"/>
      <c r="R435" s="26" t="n"/>
      <c r="S435" s="26" t="n"/>
      <c r="T435" s="26" t="n"/>
      <c r="U435" s="26" t="n"/>
      <c r="V435" s="26" t="n"/>
      <c r="W435" s="26" t="n"/>
      <c r="X435" s="26" t="n"/>
      <c r="Y435" s="26" t="n"/>
      <c r="Z435" s="26" t="n"/>
    </row>
    <row r="436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26" t="n"/>
      <c r="X436" s="26" t="n"/>
      <c r="Y436" s="26" t="n"/>
      <c r="Z436" s="26" t="n"/>
    </row>
    <row r="437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n"/>
      <c r="R437" s="26" t="n"/>
      <c r="S437" s="26" t="n"/>
      <c r="T437" s="26" t="n"/>
      <c r="U437" s="26" t="n"/>
      <c r="V437" s="26" t="n"/>
      <c r="W437" s="26" t="n"/>
      <c r="X437" s="26" t="n"/>
      <c r="Y437" s="26" t="n"/>
      <c r="Z437" s="26" t="n"/>
    </row>
    <row r="438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26" t="n"/>
      <c r="X438" s="26" t="n"/>
      <c r="Y438" s="26" t="n"/>
      <c r="Z438" s="26" t="n"/>
    </row>
    <row r="439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n"/>
      <c r="R439" s="26" t="n"/>
      <c r="S439" s="26" t="n"/>
      <c r="T439" s="26" t="n"/>
      <c r="U439" s="26" t="n"/>
      <c r="V439" s="26" t="n"/>
      <c r="W439" s="26" t="n"/>
      <c r="X439" s="26" t="n"/>
      <c r="Y439" s="26" t="n"/>
      <c r="Z439" s="26" t="n"/>
    </row>
    <row r="440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26" t="n"/>
      <c r="X440" s="26" t="n"/>
      <c r="Y440" s="26" t="n"/>
      <c r="Z440" s="26" t="n"/>
    </row>
    <row r="441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n"/>
      <c r="R441" s="26" t="n"/>
      <c r="S441" s="26" t="n"/>
      <c r="T441" s="26" t="n"/>
      <c r="U441" s="26" t="n"/>
      <c r="V441" s="26" t="n"/>
      <c r="W441" s="26" t="n"/>
      <c r="X441" s="26" t="n"/>
      <c r="Y441" s="26" t="n"/>
      <c r="Z441" s="26" t="n"/>
    </row>
    <row r="442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26" t="n"/>
      <c r="X442" s="26" t="n"/>
      <c r="Y442" s="26" t="n"/>
      <c r="Z442" s="26" t="n"/>
    </row>
    <row r="443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  <c r="K443" s="26" t="n"/>
      <c r="L443" s="26" t="n"/>
      <c r="M443" s="26" t="n"/>
      <c r="N443" s="26" t="n"/>
      <c r="O443" s="26" t="n"/>
      <c r="P443" s="26" t="n"/>
      <c r="Q443" s="26" t="n"/>
      <c r="R443" s="26" t="n"/>
      <c r="S443" s="26" t="n"/>
      <c r="T443" s="26" t="n"/>
      <c r="U443" s="26" t="n"/>
      <c r="V443" s="26" t="n"/>
      <c r="W443" s="26" t="n"/>
      <c r="X443" s="26" t="n"/>
      <c r="Y443" s="26" t="n"/>
      <c r="Z443" s="26" t="n"/>
    </row>
    <row r="444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26" t="n"/>
      <c r="X444" s="26" t="n"/>
      <c r="Y444" s="26" t="n"/>
      <c r="Z444" s="26" t="n"/>
    </row>
    <row r="445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26" t="n"/>
      <c r="K445" s="26" t="n"/>
      <c r="L445" s="26" t="n"/>
      <c r="M445" s="26" t="n"/>
      <c r="N445" s="26" t="n"/>
      <c r="O445" s="26" t="n"/>
      <c r="P445" s="26" t="n"/>
      <c r="Q445" s="26" t="n"/>
      <c r="R445" s="26" t="n"/>
      <c r="S445" s="26" t="n"/>
      <c r="T445" s="26" t="n"/>
      <c r="U445" s="26" t="n"/>
      <c r="V445" s="26" t="n"/>
      <c r="W445" s="26" t="n"/>
      <c r="X445" s="26" t="n"/>
      <c r="Y445" s="26" t="n"/>
      <c r="Z445" s="26" t="n"/>
    </row>
    <row r="446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26" t="n"/>
      <c r="X446" s="26" t="n"/>
      <c r="Y446" s="26" t="n"/>
      <c r="Z446" s="26" t="n"/>
    </row>
    <row r="447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6" t="n"/>
      <c r="P447" s="26" t="n"/>
      <c r="Q447" s="26" t="n"/>
      <c r="R447" s="26" t="n"/>
      <c r="S447" s="26" t="n"/>
      <c r="T447" s="26" t="n"/>
      <c r="U447" s="26" t="n"/>
      <c r="V447" s="26" t="n"/>
      <c r="W447" s="26" t="n"/>
      <c r="X447" s="26" t="n"/>
      <c r="Y447" s="26" t="n"/>
      <c r="Z447" s="26" t="n"/>
    </row>
    <row r="448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26" t="n"/>
      <c r="X448" s="26" t="n"/>
      <c r="Y448" s="26" t="n"/>
      <c r="Z448" s="26" t="n"/>
    </row>
    <row r="449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26" t="n"/>
      <c r="K449" s="26" t="n"/>
      <c r="L449" s="26" t="n"/>
      <c r="M449" s="26" t="n"/>
      <c r="N449" s="26" t="n"/>
      <c r="O449" s="26" t="n"/>
      <c r="P449" s="26" t="n"/>
      <c r="Q449" s="26" t="n"/>
      <c r="R449" s="26" t="n"/>
      <c r="S449" s="26" t="n"/>
      <c r="T449" s="26" t="n"/>
      <c r="U449" s="26" t="n"/>
      <c r="V449" s="26" t="n"/>
      <c r="W449" s="26" t="n"/>
      <c r="X449" s="26" t="n"/>
      <c r="Y449" s="26" t="n"/>
      <c r="Z449" s="26" t="n"/>
    </row>
    <row r="450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26" t="n"/>
      <c r="X450" s="26" t="n"/>
      <c r="Y450" s="26" t="n"/>
      <c r="Z450" s="26" t="n"/>
    </row>
    <row r="451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n"/>
      <c r="R451" s="26" t="n"/>
      <c r="S451" s="26" t="n"/>
      <c r="T451" s="26" t="n"/>
      <c r="U451" s="26" t="n"/>
      <c r="V451" s="26" t="n"/>
      <c r="W451" s="26" t="n"/>
      <c r="X451" s="26" t="n"/>
      <c r="Y451" s="26" t="n"/>
      <c r="Z451" s="26" t="n"/>
    </row>
    <row r="452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26" t="n"/>
      <c r="X452" s="26" t="n"/>
      <c r="Y452" s="26" t="n"/>
      <c r="Z452" s="26" t="n"/>
    </row>
    <row r="453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6" t="n"/>
      <c r="P453" s="26" t="n"/>
      <c r="Q453" s="26" t="n"/>
      <c r="R453" s="26" t="n"/>
      <c r="S453" s="26" t="n"/>
      <c r="T453" s="26" t="n"/>
      <c r="U453" s="26" t="n"/>
      <c r="V453" s="26" t="n"/>
      <c r="W453" s="26" t="n"/>
      <c r="X453" s="26" t="n"/>
      <c r="Y453" s="26" t="n"/>
      <c r="Z453" s="26" t="n"/>
    </row>
    <row r="454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26" t="n"/>
      <c r="X454" s="26" t="n"/>
      <c r="Y454" s="26" t="n"/>
      <c r="Z454" s="26" t="n"/>
    </row>
    <row r="455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26" t="n"/>
      <c r="K455" s="26" t="n"/>
      <c r="L455" s="26" t="n"/>
      <c r="M455" s="26" t="n"/>
      <c r="N455" s="26" t="n"/>
      <c r="O455" s="26" t="n"/>
      <c r="P455" s="26" t="n"/>
      <c r="Q455" s="26" t="n"/>
      <c r="R455" s="26" t="n"/>
      <c r="S455" s="26" t="n"/>
      <c r="T455" s="26" t="n"/>
      <c r="U455" s="26" t="n"/>
      <c r="V455" s="26" t="n"/>
      <c r="W455" s="26" t="n"/>
      <c r="X455" s="26" t="n"/>
      <c r="Y455" s="26" t="n"/>
      <c r="Z455" s="26" t="n"/>
    </row>
    <row r="456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26" t="n"/>
      <c r="X456" s="26" t="n"/>
      <c r="Y456" s="26" t="n"/>
      <c r="Z456" s="26" t="n"/>
    </row>
    <row r="457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26" t="n"/>
      <c r="K457" s="26" t="n"/>
      <c r="L457" s="26" t="n"/>
      <c r="M457" s="26" t="n"/>
      <c r="N457" s="26" t="n"/>
      <c r="O457" s="26" t="n"/>
      <c r="P457" s="26" t="n"/>
      <c r="Q457" s="26" t="n"/>
      <c r="R457" s="26" t="n"/>
      <c r="S457" s="26" t="n"/>
      <c r="T457" s="26" t="n"/>
      <c r="U457" s="26" t="n"/>
      <c r="V457" s="26" t="n"/>
      <c r="W457" s="26" t="n"/>
      <c r="X457" s="26" t="n"/>
      <c r="Y457" s="26" t="n"/>
      <c r="Z457" s="26" t="n"/>
    </row>
    <row r="458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26" t="n"/>
      <c r="X458" s="26" t="n"/>
      <c r="Y458" s="26" t="n"/>
      <c r="Z458" s="26" t="n"/>
    </row>
    <row r="459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6" t="n"/>
      <c r="P459" s="26" t="n"/>
      <c r="Q459" s="26" t="n"/>
      <c r="R459" s="26" t="n"/>
      <c r="S459" s="26" t="n"/>
      <c r="T459" s="26" t="n"/>
      <c r="U459" s="26" t="n"/>
      <c r="V459" s="26" t="n"/>
      <c r="W459" s="26" t="n"/>
      <c r="X459" s="26" t="n"/>
      <c r="Y459" s="26" t="n"/>
      <c r="Z459" s="26" t="n"/>
    </row>
    <row r="460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26" t="n"/>
      <c r="X460" s="26" t="n"/>
      <c r="Y460" s="26" t="n"/>
      <c r="Z460" s="26" t="n"/>
    </row>
    <row r="461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6" t="n"/>
      <c r="Q461" s="26" t="n"/>
      <c r="R461" s="26" t="n"/>
      <c r="S461" s="26" t="n"/>
      <c r="T461" s="26" t="n"/>
      <c r="U461" s="26" t="n"/>
      <c r="V461" s="26" t="n"/>
      <c r="W461" s="26" t="n"/>
      <c r="X461" s="26" t="n"/>
      <c r="Y461" s="26" t="n"/>
      <c r="Z461" s="26" t="n"/>
    </row>
    <row r="462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26" t="n"/>
      <c r="X462" s="26" t="n"/>
      <c r="Y462" s="26" t="n"/>
      <c r="Z462" s="26" t="n"/>
    </row>
    <row r="463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6" t="n"/>
      <c r="P463" s="26" t="n"/>
      <c r="Q463" s="26" t="n"/>
      <c r="R463" s="26" t="n"/>
      <c r="S463" s="26" t="n"/>
      <c r="T463" s="26" t="n"/>
      <c r="U463" s="26" t="n"/>
      <c r="V463" s="26" t="n"/>
      <c r="W463" s="26" t="n"/>
      <c r="X463" s="26" t="n"/>
      <c r="Y463" s="26" t="n"/>
      <c r="Z463" s="26" t="n"/>
    </row>
    <row r="464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26" t="n"/>
      <c r="X464" s="26" t="n"/>
      <c r="Y464" s="26" t="n"/>
      <c r="Z464" s="26" t="n"/>
    </row>
    <row r="465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26" t="n"/>
      <c r="K465" s="26" t="n"/>
      <c r="L465" s="26" t="n"/>
      <c r="M465" s="26" t="n"/>
      <c r="N465" s="26" t="n"/>
      <c r="O465" s="26" t="n"/>
      <c r="P465" s="26" t="n"/>
      <c r="Q465" s="26" t="n"/>
      <c r="R465" s="26" t="n"/>
      <c r="S465" s="26" t="n"/>
      <c r="T465" s="26" t="n"/>
      <c r="U465" s="26" t="n"/>
      <c r="V465" s="26" t="n"/>
      <c r="W465" s="26" t="n"/>
      <c r="X465" s="26" t="n"/>
      <c r="Y465" s="26" t="n"/>
      <c r="Z465" s="26" t="n"/>
    </row>
    <row r="466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26" t="n"/>
      <c r="X466" s="26" t="n"/>
      <c r="Y466" s="26" t="n"/>
      <c r="Z466" s="26" t="n"/>
    </row>
    <row r="467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n"/>
      <c r="R467" s="26" t="n"/>
      <c r="S467" s="26" t="n"/>
      <c r="T467" s="26" t="n"/>
      <c r="U467" s="26" t="n"/>
      <c r="V467" s="26" t="n"/>
      <c r="W467" s="26" t="n"/>
      <c r="X467" s="26" t="n"/>
      <c r="Y467" s="26" t="n"/>
      <c r="Z467" s="26" t="n"/>
    </row>
    <row r="468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26" t="n"/>
      <c r="X468" s="26" t="n"/>
      <c r="Y468" s="26" t="n"/>
      <c r="Z468" s="26" t="n"/>
    </row>
    <row r="469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n"/>
      <c r="R469" s="26" t="n"/>
      <c r="S469" s="26" t="n"/>
      <c r="T469" s="26" t="n"/>
      <c r="U469" s="26" t="n"/>
      <c r="V469" s="26" t="n"/>
      <c r="W469" s="26" t="n"/>
      <c r="X469" s="26" t="n"/>
      <c r="Y469" s="26" t="n"/>
      <c r="Z469" s="26" t="n"/>
    </row>
    <row r="470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26" t="n"/>
      <c r="X470" s="26" t="n"/>
      <c r="Y470" s="26" t="n"/>
      <c r="Z470" s="26" t="n"/>
    </row>
    <row r="471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n"/>
      <c r="R471" s="26" t="n"/>
      <c r="S471" s="26" t="n"/>
      <c r="T471" s="26" t="n"/>
      <c r="U471" s="26" t="n"/>
      <c r="V471" s="26" t="n"/>
      <c r="W471" s="26" t="n"/>
      <c r="X471" s="26" t="n"/>
      <c r="Y471" s="26" t="n"/>
      <c r="Z471" s="26" t="n"/>
    </row>
    <row r="472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26" t="n"/>
      <c r="X472" s="26" t="n"/>
      <c r="Y472" s="26" t="n"/>
      <c r="Z472" s="26" t="n"/>
    </row>
    <row r="473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n"/>
      <c r="R473" s="26" t="n"/>
      <c r="S473" s="26" t="n"/>
      <c r="T473" s="26" t="n"/>
      <c r="U473" s="26" t="n"/>
      <c r="V473" s="26" t="n"/>
      <c r="W473" s="26" t="n"/>
      <c r="X473" s="26" t="n"/>
      <c r="Y473" s="26" t="n"/>
      <c r="Z473" s="26" t="n"/>
    </row>
    <row r="474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26" t="n"/>
      <c r="X474" s="26" t="n"/>
      <c r="Y474" s="26" t="n"/>
      <c r="Z474" s="26" t="n"/>
    </row>
    <row r="475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n"/>
      <c r="R475" s="26" t="n"/>
      <c r="S475" s="26" t="n"/>
      <c r="T475" s="26" t="n"/>
      <c r="U475" s="26" t="n"/>
      <c r="V475" s="26" t="n"/>
      <c r="W475" s="26" t="n"/>
      <c r="X475" s="26" t="n"/>
      <c r="Y475" s="26" t="n"/>
      <c r="Z475" s="26" t="n"/>
    </row>
    <row r="476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X476" s="26" t="n"/>
      <c r="Y476" s="26" t="n"/>
      <c r="Z476" s="26" t="n"/>
    </row>
    <row r="477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n"/>
      <c r="R477" s="26" t="n"/>
      <c r="S477" s="26" t="n"/>
      <c r="T477" s="26" t="n"/>
      <c r="U477" s="26" t="n"/>
      <c r="V477" s="26" t="n"/>
      <c r="W477" s="26" t="n"/>
      <c r="X477" s="26" t="n"/>
      <c r="Y477" s="26" t="n"/>
      <c r="Z477" s="26" t="n"/>
    </row>
    <row r="478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26" t="n"/>
      <c r="X478" s="26" t="n"/>
      <c r="Y478" s="26" t="n"/>
      <c r="Z478" s="26" t="n"/>
    </row>
    <row r="479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n"/>
      <c r="R479" s="26" t="n"/>
      <c r="S479" s="26" t="n"/>
      <c r="T479" s="26" t="n"/>
      <c r="U479" s="26" t="n"/>
      <c r="V479" s="26" t="n"/>
      <c r="W479" s="26" t="n"/>
      <c r="X479" s="26" t="n"/>
      <c r="Y479" s="26" t="n"/>
      <c r="Z479" s="26" t="n"/>
    </row>
    <row r="480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26" t="n"/>
      <c r="X480" s="26" t="n"/>
      <c r="Y480" s="26" t="n"/>
      <c r="Z480" s="26" t="n"/>
    </row>
    <row r="481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n"/>
      <c r="R481" s="26" t="n"/>
      <c r="S481" s="26" t="n"/>
      <c r="T481" s="26" t="n"/>
      <c r="U481" s="26" t="n"/>
      <c r="V481" s="26" t="n"/>
      <c r="W481" s="26" t="n"/>
      <c r="X481" s="26" t="n"/>
      <c r="Y481" s="26" t="n"/>
      <c r="Z481" s="26" t="n"/>
    </row>
    <row r="482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26" t="n"/>
      <c r="X482" s="26" t="n"/>
      <c r="Y482" s="26" t="n"/>
      <c r="Z482" s="26" t="n"/>
    </row>
    <row r="483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26" t="n"/>
      <c r="K483" s="26" t="n"/>
      <c r="L483" s="26" t="n"/>
      <c r="M483" s="26" t="n"/>
      <c r="N483" s="26" t="n"/>
      <c r="O483" s="26" t="n"/>
      <c r="P483" s="26" t="n"/>
      <c r="Q483" s="26" t="n"/>
      <c r="R483" s="26" t="n"/>
      <c r="S483" s="26" t="n"/>
      <c r="T483" s="26" t="n"/>
      <c r="U483" s="26" t="n"/>
      <c r="V483" s="26" t="n"/>
      <c r="W483" s="26" t="n"/>
      <c r="X483" s="26" t="n"/>
      <c r="Y483" s="26" t="n"/>
      <c r="Z483" s="26" t="n"/>
    </row>
    <row r="484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26" t="n"/>
      <c r="X484" s="26" t="n"/>
      <c r="Y484" s="26" t="n"/>
      <c r="Z484" s="26" t="n"/>
    </row>
    <row r="485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26" t="n"/>
      <c r="K485" s="26" t="n"/>
      <c r="L485" s="26" t="n"/>
      <c r="M485" s="26" t="n"/>
      <c r="N485" s="26" t="n"/>
      <c r="O485" s="26" t="n"/>
      <c r="P485" s="26" t="n"/>
      <c r="Q485" s="26" t="n"/>
      <c r="R485" s="26" t="n"/>
      <c r="S485" s="26" t="n"/>
      <c r="T485" s="26" t="n"/>
      <c r="U485" s="26" t="n"/>
      <c r="V485" s="26" t="n"/>
      <c r="W485" s="26" t="n"/>
      <c r="X485" s="26" t="n"/>
      <c r="Y485" s="26" t="n"/>
      <c r="Z485" s="26" t="n"/>
    </row>
    <row r="486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26" t="n"/>
      <c r="X486" s="26" t="n"/>
      <c r="Y486" s="26" t="n"/>
      <c r="Z486" s="26" t="n"/>
    </row>
    <row r="487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26" t="n"/>
      <c r="K487" s="26" t="n"/>
      <c r="L487" s="26" t="n"/>
      <c r="M487" s="26" t="n"/>
      <c r="N487" s="26" t="n"/>
      <c r="O487" s="26" t="n"/>
      <c r="P487" s="26" t="n"/>
      <c r="Q487" s="26" t="n"/>
      <c r="R487" s="26" t="n"/>
      <c r="S487" s="26" t="n"/>
      <c r="T487" s="26" t="n"/>
      <c r="U487" s="26" t="n"/>
      <c r="V487" s="26" t="n"/>
      <c r="W487" s="26" t="n"/>
      <c r="X487" s="26" t="n"/>
      <c r="Y487" s="26" t="n"/>
      <c r="Z487" s="26" t="n"/>
    </row>
    <row r="488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26" t="n"/>
      <c r="X488" s="26" t="n"/>
      <c r="Y488" s="26" t="n"/>
      <c r="Z488" s="26" t="n"/>
    </row>
    <row r="489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26" t="n"/>
      <c r="K489" s="26" t="n"/>
      <c r="L489" s="26" t="n"/>
      <c r="M489" s="26" t="n"/>
      <c r="N489" s="26" t="n"/>
      <c r="O489" s="26" t="n"/>
      <c r="P489" s="26" t="n"/>
      <c r="Q489" s="26" t="n"/>
      <c r="R489" s="26" t="n"/>
      <c r="S489" s="26" t="n"/>
      <c r="T489" s="26" t="n"/>
      <c r="U489" s="26" t="n"/>
      <c r="V489" s="26" t="n"/>
      <c r="W489" s="26" t="n"/>
      <c r="X489" s="26" t="n"/>
      <c r="Y489" s="26" t="n"/>
      <c r="Z489" s="26" t="n"/>
    </row>
    <row r="490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26" t="n"/>
      <c r="X490" s="26" t="n"/>
      <c r="Y490" s="26" t="n"/>
      <c r="Z490" s="26" t="n"/>
    </row>
    <row r="491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26" t="n"/>
      <c r="K491" s="26" t="n"/>
      <c r="L491" s="26" t="n"/>
      <c r="M491" s="26" t="n"/>
      <c r="N491" s="26" t="n"/>
      <c r="O491" s="26" t="n"/>
      <c r="P491" s="26" t="n"/>
      <c r="Q491" s="26" t="n"/>
      <c r="R491" s="26" t="n"/>
      <c r="S491" s="26" t="n"/>
      <c r="T491" s="26" t="n"/>
      <c r="U491" s="26" t="n"/>
      <c r="V491" s="26" t="n"/>
      <c r="W491" s="26" t="n"/>
      <c r="X491" s="26" t="n"/>
      <c r="Y491" s="26" t="n"/>
      <c r="Z491" s="26" t="n"/>
    </row>
    <row r="492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26" t="n"/>
      <c r="X492" s="26" t="n"/>
      <c r="Y492" s="26" t="n"/>
      <c r="Z492" s="26" t="n"/>
    </row>
    <row r="493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26" t="n"/>
      <c r="K493" s="26" t="n"/>
      <c r="L493" s="26" t="n"/>
      <c r="M493" s="26" t="n"/>
      <c r="N493" s="26" t="n"/>
      <c r="O493" s="26" t="n"/>
      <c r="P493" s="26" t="n"/>
      <c r="Q493" s="26" t="n"/>
      <c r="R493" s="26" t="n"/>
      <c r="S493" s="26" t="n"/>
      <c r="T493" s="26" t="n"/>
      <c r="U493" s="26" t="n"/>
      <c r="V493" s="26" t="n"/>
      <c r="W493" s="26" t="n"/>
      <c r="X493" s="26" t="n"/>
      <c r="Y493" s="26" t="n"/>
      <c r="Z493" s="26" t="n"/>
    </row>
    <row r="494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26" t="n"/>
      <c r="X494" s="26" t="n"/>
      <c r="Y494" s="26" t="n"/>
      <c r="Z494" s="26" t="n"/>
    </row>
    <row r="495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26" t="n"/>
      <c r="K495" s="26" t="n"/>
      <c r="L495" s="26" t="n"/>
      <c r="M495" s="26" t="n"/>
      <c r="N495" s="26" t="n"/>
      <c r="O495" s="26" t="n"/>
      <c r="P495" s="26" t="n"/>
      <c r="Q495" s="26" t="n"/>
      <c r="R495" s="26" t="n"/>
      <c r="S495" s="26" t="n"/>
      <c r="T495" s="26" t="n"/>
      <c r="U495" s="26" t="n"/>
      <c r="V495" s="26" t="n"/>
      <c r="W495" s="26" t="n"/>
      <c r="X495" s="26" t="n"/>
      <c r="Y495" s="26" t="n"/>
      <c r="Z495" s="26" t="n"/>
    </row>
    <row r="496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26" t="n"/>
      <c r="X496" s="26" t="n"/>
      <c r="Y496" s="26" t="n"/>
      <c r="Z496" s="26" t="n"/>
    </row>
    <row r="497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26" t="n"/>
      <c r="K497" s="26" t="n"/>
      <c r="L497" s="26" t="n"/>
      <c r="M497" s="26" t="n"/>
      <c r="N497" s="26" t="n"/>
      <c r="O497" s="26" t="n"/>
      <c r="P497" s="26" t="n"/>
      <c r="Q497" s="26" t="n"/>
      <c r="R497" s="26" t="n"/>
      <c r="S497" s="26" t="n"/>
      <c r="T497" s="26" t="n"/>
      <c r="U497" s="26" t="n"/>
      <c r="V497" s="26" t="n"/>
      <c r="W497" s="26" t="n"/>
      <c r="X497" s="26" t="n"/>
      <c r="Y497" s="26" t="n"/>
      <c r="Z497" s="26" t="n"/>
    </row>
    <row r="498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26" t="n"/>
      <c r="K498" s="26" t="n"/>
      <c r="L498" s="26" t="n"/>
      <c r="M498" s="26" t="n"/>
      <c r="N498" s="26" t="n"/>
      <c r="O498" s="26" t="n"/>
      <c r="P498" s="26" t="n"/>
      <c r="Q498" s="26" t="n"/>
      <c r="R498" s="26" t="n"/>
      <c r="S498" s="26" t="n"/>
      <c r="T498" s="26" t="n"/>
      <c r="U498" s="26" t="n"/>
      <c r="V498" s="26" t="n"/>
      <c r="W498" s="26" t="n"/>
      <c r="X498" s="26" t="n"/>
      <c r="Y498" s="26" t="n"/>
      <c r="Z498" s="26" t="n"/>
    </row>
    <row r="499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26" t="n"/>
      <c r="K499" s="26" t="n"/>
      <c r="L499" s="26" t="n"/>
      <c r="M499" s="26" t="n"/>
      <c r="N499" s="26" t="n"/>
      <c r="O499" s="26" t="n"/>
      <c r="P499" s="26" t="n"/>
      <c r="Q499" s="26" t="n"/>
      <c r="R499" s="26" t="n"/>
      <c r="S499" s="26" t="n"/>
      <c r="T499" s="26" t="n"/>
      <c r="U499" s="26" t="n"/>
      <c r="V499" s="26" t="n"/>
      <c r="W499" s="26" t="n"/>
      <c r="X499" s="26" t="n"/>
      <c r="Y499" s="26" t="n"/>
      <c r="Z499" s="26" t="n"/>
    </row>
    <row r="500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26" t="n"/>
      <c r="K500" s="26" t="n"/>
      <c r="L500" s="26" t="n"/>
      <c r="M500" s="26" t="n"/>
      <c r="N500" s="26" t="n"/>
      <c r="O500" s="26" t="n"/>
      <c r="P500" s="26" t="n"/>
      <c r="Q500" s="26" t="n"/>
      <c r="R500" s="26" t="n"/>
      <c r="S500" s="26" t="n"/>
      <c r="T500" s="26" t="n"/>
      <c r="U500" s="26" t="n"/>
      <c r="V500" s="26" t="n"/>
      <c r="W500" s="26" t="n"/>
      <c r="X500" s="26" t="n"/>
      <c r="Y500" s="26" t="n"/>
      <c r="Z500" s="26" t="n"/>
    </row>
    <row r="501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26" t="n"/>
      <c r="K501" s="26" t="n"/>
      <c r="L501" s="26" t="n"/>
      <c r="M501" s="26" t="n"/>
      <c r="N501" s="26" t="n"/>
      <c r="O501" s="26" t="n"/>
      <c r="P501" s="26" t="n"/>
      <c r="Q501" s="26" t="n"/>
      <c r="R501" s="26" t="n"/>
      <c r="S501" s="26" t="n"/>
      <c r="T501" s="26" t="n"/>
      <c r="U501" s="26" t="n"/>
      <c r="V501" s="26" t="n"/>
      <c r="W501" s="26" t="n"/>
      <c r="X501" s="26" t="n"/>
      <c r="Y501" s="26" t="n"/>
      <c r="Z501" s="26" t="n"/>
    </row>
    <row r="502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  <c r="Z502" s="26" t="n"/>
    </row>
    <row r="503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  <c r="Z503" s="26" t="n"/>
    </row>
    <row r="504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  <c r="Z504" s="26" t="n"/>
    </row>
    <row r="505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  <c r="Z505" s="26" t="n"/>
    </row>
    <row r="506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  <c r="Z506" s="26" t="n"/>
    </row>
    <row r="507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  <c r="Z507" s="26" t="n"/>
    </row>
    <row r="508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  <c r="Z508" s="26" t="n"/>
    </row>
    <row r="509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  <c r="Z509" s="26" t="n"/>
    </row>
    <row r="510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  <c r="Z510" s="26" t="n"/>
    </row>
    <row r="511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  <c r="Z511" s="26" t="n"/>
    </row>
    <row r="512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  <c r="Z512" s="26" t="n"/>
    </row>
    <row r="513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  <c r="Z513" s="26" t="n"/>
    </row>
    <row r="514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  <c r="Z514" s="26" t="n"/>
    </row>
    <row r="515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  <c r="Z515" s="26" t="n"/>
    </row>
    <row r="516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  <c r="Z516" s="26" t="n"/>
    </row>
    <row r="517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  <c r="Z517" s="26" t="n"/>
    </row>
    <row r="518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  <c r="Z518" s="26" t="n"/>
    </row>
    <row r="519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  <c r="Z519" s="26" t="n"/>
    </row>
    <row r="520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  <c r="Z520" s="26" t="n"/>
    </row>
    <row r="521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  <c r="Z521" s="26" t="n"/>
    </row>
    <row r="522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  <c r="Z522" s="26" t="n"/>
    </row>
    <row r="523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  <c r="Z523" s="26" t="n"/>
    </row>
    <row r="524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  <c r="Z524" s="26" t="n"/>
    </row>
    <row r="525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  <c r="Z525" s="26" t="n"/>
    </row>
    <row r="526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  <c r="Z526" s="26" t="n"/>
    </row>
    <row r="527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  <c r="Z527" s="26" t="n"/>
    </row>
    <row r="528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  <c r="Z528" s="26" t="n"/>
    </row>
    <row r="529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  <c r="Z529" s="26" t="n"/>
    </row>
    <row r="530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  <c r="Z530" s="26" t="n"/>
    </row>
    <row r="531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  <c r="Z531" s="26" t="n"/>
    </row>
    <row r="532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  <c r="Z532" s="26" t="n"/>
    </row>
    <row r="533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  <c r="Z533" s="26" t="n"/>
    </row>
    <row r="534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  <c r="Z534" s="26" t="n"/>
    </row>
    <row r="535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  <c r="Z535" s="26" t="n"/>
    </row>
    <row r="536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  <c r="Z536" s="26" t="n"/>
    </row>
    <row r="537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  <c r="Z537" s="26" t="n"/>
    </row>
    <row r="538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  <c r="Z538" s="26" t="n"/>
    </row>
    <row r="539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  <c r="Z539" s="26" t="n"/>
    </row>
    <row r="540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  <c r="Z540" s="26" t="n"/>
    </row>
    <row r="541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  <c r="Z541" s="26" t="n"/>
    </row>
    <row r="542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  <c r="Z542" s="26" t="n"/>
    </row>
    <row r="543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  <c r="Z543" s="26" t="n"/>
    </row>
    <row r="544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  <c r="Z544" s="26" t="n"/>
    </row>
    <row r="545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  <c r="Z545" s="26" t="n"/>
    </row>
    <row r="546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  <c r="Z546" s="26" t="n"/>
    </row>
    <row r="547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  <c r="Z547" s="26" t="n"/>
    </row>
    <row r="548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  <c r="Z548" s="26" t="n"/>
    </row>
    <row r="549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  <c r="Z549" s="26" t="n"/>
    </row>
    <row r="550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  <c r="Z550" s="26" t="n"/>
    </row>
    <row r="551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  <c r="Z551" s="26" t="n"/>
    </row>
    <row r="552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  <c r="Z552" s="26" t="n"/>
    </row>
    <row r="553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  <c r="Z553" s="26" t="n"/>
    </row>
    <row r="554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  <c r="Z554" s="26" t="n"/>
    </row>
    <row r="555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  <c r="Z555" s="26" t="n"/>
    </row>
    <row r="556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  <c r="Z556" s="26" t="n"/>
    </row>
    <row r="557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  <c r="Z557" s="26" t="n"/>
    </row>
    <row r="558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  <c r="Z558" s="26" t="n"/>
    </row>
    <row r="559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  <c r="Z559" s="26" t="n"/>
    </row>
    <row r="560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  <c r="Z560" s="26" t="n"/>
    </row>
    <row r="561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  <c r="Z561" s="26" t="n"/>
    </row>
    <row r="562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  <c r="Z562" s="26" t="n"/>
    </row>
    <row r="563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  <c r="Z563" s="26" t="n"/>
    </row>
    <row r="564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  <c r="Z564" s="26" t="n"/>
    </row>
    <row r="565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  <c r="Z565" s="26" t="n"/>
    </row>
    <row r="566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  <c r="Z566" s="26" t="n"/>
    </row>
    <row r="567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  <c r="Z567" s="26" t="n"/>
    </row>
    <row r="568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  <c r="Z568" s="26" t="n"/>
    </row>
    <row r="569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  <c r="Z569" s="26" t="n"/>
    </row>
    <row r="570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  <c r="Z570" s="26" t="n"/>
    </row>
    <row r="571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  <c r="Z571" s="26" t="n"/>
    </row>
    <row r="572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  <c r="Z572" s="26" t="n"/>
    </row>
    <row r="573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  <c r="Z573" s="26" t="n"/>
    </row>
    <row r="574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  <c r="Z574" s="26" t="n"/>
    </row>
    <row r="575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  <c r="Z575" s="26" t="n"/>
    </row>
    <row r="576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  <c r="Z576" s="26" t="n"/>
    </row>
    <row r="577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  <c r="Z577" s="26" t="n"/>
    </row>
    <row r="578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  <c r="Z578" s="26" t="n"/>
    </row>
    <row r="579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  <c r="Z579" s="26" t="n"/>
    </row>
    <row r="580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  <c r="Z580" s="26" t="n"/>
    </row>
    <row r="581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  <c r="Z581" s="26" t="n"/>
    </row>
    <row r="582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  <c r="Z582" s="26" t="n"/>
    </row>
    <row r="583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  <c r="Z583" s="26" t="n"/>
    </row>
    <row r="584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  <c r="Z584" s="26" t="n"/>
    </row>
    <row r="585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  <c r="Z585" s="26" t="n"/>
    </row>
    <row r="586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  <c r="Z586" s="26" t="n"/>
    </row>
    <row r="587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  <c r="Z587" s="26" t="n"/>
    </row>
    <row r="588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  <c r="Z588" s="26" t="n"/>
    </row>
    <row r="589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  <c r="Z589" s="26" t="n"/>
    </row>
    <row r="590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  <c r="Z590" s="26" t="n"/>
    </row>
    <row r="591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  <c r="Z591" s="26" t="n"/>
    </row>
    <row r="592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  <c r="Z592" s="26" t="n"/>
    </row>
    <row r="593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  <c r="Z593" s="26" t="n"/>
    </row>
    <row r="594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  <c r="Z594" s="26" t="n"/>
    </row>
    <row r="595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  <c r="Z595" s="26" t="n"/>
    </row>
    <row r="596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  <c r="Z596" s="26" t="n"/>
    </row>
    <row r="597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  <c r="Z597" s="26" t="n"/>
    </row>
    <row r="598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  <c r="Z598" s="26" t="n"/>
    </row>
    <row r="599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  <c r="Z599" s="26" t="n"/>
    </row>
    <row r="600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  <c r="Z600" s="26" t="n"/>
    </row>
    <row r="601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  <c r="Z601" s="26" t="n"/>
    </row>
    <row r="602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  <c r="Z602" s="26" t="n"/>
    </row>
    <row r="603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  <c r="Z603" s="26" t="n"/>
    </row>
    <row r="604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  <c r="Z604" s="26" t="n"/>
    </row>
    <row r="605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  <c r="Z605" s="26" t="n"/>
    </row>
    <row r="606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  <c r="Z606" s="26" t="n"/>
    </row>
    <row r="607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  <c r="Z607" s="26" t="n"/>
    </row>
    <row r="608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  <c r="Z608" s="26" t="n"/>
    </row>
    <row r="609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  <c r="Z609" s="26" t="n"/>
    </row>
    <row r="610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  <c r="Z610" s="26" t="n"/>
    </row>
    <row r="611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  <c r="Z611" s="26" t="n"/>
    </row>
    <row r="612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  <c r="Z612" s="26" t="n"/>
    </row>
    <row r="613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  <c r="Z613" s="26" t="n"/>
    </row>
    <row r="614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  <c r="Z614" s="26" t="n"/>
    </row>
    <row r="615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  <c r="Z615" s="26" t="n"/>
    </row>
    <row r="616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  <c r="Z616" s="26" t="n"/>
    </row>
    <row r="617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  <c r="Z617" s="26" t="n"/>
    </row>
    <row r="618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  <c r="Z618" s="26" t="n"/>
    </row>
    <row r="619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  <c r="Z619" s="26" t="n"/>
    </row>
    <row r="620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  <c r="Z620" s="26" t="n"/>
    </row>
    <row r="621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  <c r="Z621" s="26" t="n"/>
    </row>
    <row r="622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  <c r="Z622" s="26" t="n"/>
    </row>
    <row r="623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  <c r="Z623" s="26" t="n"/>
    </row>
    <row r="624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  <c r="Z624" s="26" t="n"/>
    </row>
    <row r="625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  <c r="Z625" s="26" t="n"/>
    </row>
    <row r="626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  <c r="Z626" s="26" t="n"/>
    </row>
    <row r="627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  <c r="Z627" s="26" t="n"/>
    </row>
    <row r="628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  <c r="Z628" s="26" t="n"/>
    </row>
    <row r="629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  <c r="Z629" s="26" t="n"/>
    </row>
    <row r="630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  <c r="Z630" s="26" t="n"/>
    </row>
    <row r="631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  <c r="Z631" s="26" t="n"/>
    </row>
    <row r="632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  <c r="Z632" s="26" t="n"/>
    </row>
    <row r="633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  <c r="Z633" s="26" t="n"/>
    </row>
    <row r="634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  <c r="Z634" s="26" t="n"/>
    </row>
    <row r="635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  <c r="Z635" s="26" t="n"/>
    </row>
    <row r="636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  <c r="Z636" s="26" t="n"/>
    </row>
    <row r="637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  <c r="Z637" s="26" t="n"/>
    </row>
    <row r="638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  <c r="Z638" s="26" t="n"/>
    </row>
    <row r="639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  <c r="Z639" s="26" t="n"/>
    </row>
    <row r="640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  <c r="Z640" s="26" t="n"/>
    </row>
    <row r="641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  <c r="Z641" s="26" t="n"/>
    </row>
    <row r="642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  <c r="Z642" s="26" t="n"/>
    </row>
    <row r="643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  <c r="Z643" s="26" t="n"/>
    </row>
    <row r="644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  <c r="Z644" s="26" t="n"/>
    </row>
    <row r="645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  <c r="Z645" s="26" t="n"/>
    </row>
    <row r="646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  <c r="Z646" s="26" t="n"/>
    </row>
    <row r="647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  <c r="Z647" s="26" t="n"/>
    </row>
    <row r="648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  <c r="Z648" s="26" t="n"/>
    </row>
    <row r="649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  <c r="Z649" s="26" t="n"/>
    </row>
    <row r="650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  <c r="Z650" s="26" t="n"/>
    </row>
    <row r="651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  <c r="Z651" s="26" t="n"/>
    </row>
    <row r="652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  <c r="Z652" s="26" t="n"/>
    </row>
    <row r="653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  <c r="Z653" s="26" t="n"/>
    </row>
    <row r="654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  <c r="Z654" s="26" t="n"/>
    </row>
    <row r="655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  <c r="Z655" s="26" t="n"/>
    </row>
    <row r="656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  <c r="Z656" s="26" t="n"/>
    </row>
    <row r="657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  <c r="Z657" s="26" t="n"/>
    </row>
    <row r="658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  <c r="Z658" s="26" t="n"/>
    </row>
    <row r="659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  <c r="Z659" s="26" t="n"/>
    </row>
    <row r="660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  <c r="Z660" s="26" t="n"/>
    </row>
    <row r="661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  <c r="Z661" s="26" t="n"/>
    </row>
    <row r="662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  <c r="Z662" s="26" t="n"/>
    </row>
    <row r="663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  <c r="Z663" s="26" t="n"/>
    </row>
    <row r="664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  <c r="Z664" s="26" t="n"/>
    </row>
    <row r="665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  <c r="Z665" s="26" t="n"/>
    </row>
    <row r="666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  <c r="Z666" s="26" t="n"/>
    </row>
    <row r="667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  <c r="Z667" s="26" t="n"/>
    </row>
    <row r="668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  <c r="Z668" s="26" t="n"/>
    </row>
    <row r="669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  <c r="Z669" s="26" t="n"/>
    </row>
    <row r="670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  <c r="Z670" s="26" t="n"/>
    </row>
    <row r="671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  <c r="Z671" s="26" t="n"/>
    </row>
    <row r="672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  <c r="Z672" s="26" t="n"/>
    </row>
    <row r="673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  <c r="Z673" s="26" t="n"/>
    </row>
    <row r="674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  <c r="Z674" s="26" t="n"/>
    </row>
    <row r="675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  <c r="Z675" s="26" t="n"/>
    </row>
    <row r="676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  <c r="Z676" s="26" t="n"/>
    </row>
    <row r="677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  <c r="Z677" s="26" t="n"/>
    </row>
    <row r="678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  <c r="Z678" s="26" t="n"/>
    </row>
    <row r="679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  <c r="Z679" s="26" t="n"/>
    </row>
    <row r="680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  <c r="Z680" s="26" t="n"/>
    </row>
    <row r="681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  <c r="Z681" s="26" t="n"/>
    </row>
    <row r="682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  <c r="Z682" s="26" t="n"/>
    </row>
    <row r="683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  <c r="Z683" s="26" t="n"/>
    </row>
    <row r="684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  <c r="Z684" s="26" t="n"/>
    </row>
    <row r="685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  <c r="Z685" s="26" t="n"/>
    </row>
    <row r="686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  <c r="Z686" s="26" t="n"/>
    </row>
    <row r="687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  <c r="Z687" s="26" t="n"/>
    </row>
    <row r="688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  <c r="Z688" s="26" t="n"/>
    </row>
    <row r="689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  <c r="Z689" s="26" t="n"/>
    </row>
    <row r="690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  <c r="Z690" s="26" t="n"/>
    </row>
    <row r="691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  <c r="Z691" s="26" t="n"/>
    </row>
    <row r="692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  <c r="Z692" s="26" t="n"/>
    </row>
    <row r="693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  <c r="Z693" s="26" t="n"/>
    </row>
    <row r="694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  <c r="Z694" s="26" t="n"/>
    </row>
    <row r="695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  <c r="Z695" s="26" t="n"/>
    </row>
    <row r="696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  <c r="Z696" s="26" t="n"/>
    </row>
    <row r="697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  <c r="Z697" s="26" t="n"/>
    </row>
    <row r="698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  <c r="Z698" s="26" t="n"/>
    </row>
    <row r="699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  <c r="Z699" s="26" t="n"/>
    </row>
    <row r="700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  <c r="Z700" s="26" t="n"/>
    </row>
    <row r="701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  <c r="Z701" s="26" t="n"/>
    </row>
    <row r="702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  <c r="Z702" s="26" t="n"/>
    </row>
    <row r="703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  <c r="Z703" s="26" t="n"/>
    </row>
    <row r="704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  <c r="Z704" s="26" t="n"/>
    </row>
    <row r="705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  <c r="Z705" s="26" t="n"/>
    </row>
    <row r="706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  <c r="Z706" s="26" t="n"/>
    </row>
    <row r="707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  <c r="Z707" s="26" t="n"/>
    </row>
    <row r="708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  <c r="Z708" s="26" t="n"/>
    </row>
    <row r="709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  <c r="Z709" s="26" t="n"/>
    </row>
    <row r="710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  <c r="Z710" s="26" t="n"/>
    </row>
    <row r="711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  <c r="Z711" s="26" t="n"/>
    </row>
    <row r="712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  <c r="Z712" s="26" t="n"/>
    </row>
    <row r="713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  <c r="Z713" s="26" t="n"/>
    </row>
    <row r="714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  <c r="Z714" s="26" t="n"/>
    </row>
    <row r="715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  <c r="Z715" s="26" t="n"/>
    </row>
    <row r="716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  <c r="Z716" s="26" t="n"/>
    </row>
    <row r="717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  <c r="Z717" s="26" t="n"/>
    </row>
    <row r="718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  <c r="Z718" s="26" t="n"/>
    </row>
    <row r="719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  <c r="Z719" s="26" t="n"/>
    </row>
    <row r="720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  <c r="Z720" s="26" t="n"/>
    </row>
    <row r="721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  <c r="Z721" s="26" t="n"/>
    </row>
    <row r="722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  <c r="Z722" s="26" t="n"/>
    </row>
    <row r="723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  <c r="Z723" s="26" t="n"/>
    </row>
    <row r="724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  <c r="Z724" s="26" t="n"/>
    </row>
    <row r="725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  <c r="Z725" s="26" t="n"/>
    </row>
    <row r="726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  <c r="Z726" s="26" t="n"/>
    </row>
    <row r="727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  <c r="Z727" s="26" t="n"/>
    </row>
    <row r="728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  <c r="Z728" s="26" t="n"/>
    </row>
    <row r="729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  <c r="Z729" s="26" t="n"/>
    </row>
    <row r="730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  <c r="Z730" s="26" t="n"/>
    </row>
    <row r="731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  <c r="Z731" s="26" t="n"/>
    </row>
    <row r="732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  <c r="Z732" s="26" t="n"/>
    </row>
    <row r="733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  <c r="Z733" s="26" t="n"/>
    </row>
    <row r="734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  <c r="Z734" s="26" t="n"/>
    </row>
    <row r="735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  <c r="Z735" s="26" t="n"/>
    </row>
    <row r="736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  <c r="Z736" s="26" t="n"/>
    </row>
    <row r="737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  <c r="Z737" s="26" t="n"/>
    </row>
    <row r="738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  <c r="Z738" s="26" t="n"/>
    </row>
    <row r="739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  <c r="Z739" s="26" t="n"/>
    </row>
    <row r="740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  <c r="Z740" s="26" t="n"/>
    </row>
    <row r="741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  <c r="Z741" s="26" t="n"/>
    </row>
    <row r="742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  <c r="Z742" s="26" t="n"/>
    </row>
    <row r="743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26" t="n"/>
      <c r="K743" s="26" t="n"/>
      <c r="L743" s="26" t="n"/>
      <c r="M743" s="26" t="n"/>
      <c r="N743" s="26" t="n"/>
      <c r="O743" s="26" t="n"/>
      <c r="P743" s="26" t="n"/>
      <c r="Q743" s="26" t="n"/>
      <c r="R743" s="26" t="n"/>
      <c r="S743" s="26" t="n"/>
      <c r="T743" s="26" t="n"/>
      <c r="U743" s="26" t="n"/>
      <c r="V743" s="26" t="n"/>
      <c r="W743" s="26" t="n"/>
      <c r="X743" s="26" t="n"/>
      <c r="Y743" s="26" t="n"/>
      <c r="Z743" s="26" t="n"/>
    </row>
    <row r="744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26" t="n"/>
      <c r="K744" s="26" t="n"/>
      <c r="L744" s="26" t="n"/>
      <c r="M744" s="26" t="n"/>
      <c r="N744" s="26" t="n"/>
      <c r="O744" s="26" t="n"/>
      <c r="P744" s="26" t="n"/>
      <c r="Q744" s="26" t="n"/>
      <c r="R744" s="26" t="n"/>
      <c r="S744" s="26" t="n"/>
      <c r="T744" s="26" t="n"/>
      <c r="U744" s="26" t="n"/>
      <c r="V744" s="26" t="n"/>
      <c r="W744" s="26" t="n"/>
      <c r="X744" s="26" t="n"/>
      <c r="Y744" s="26" t="n"/>
      <c r="Z744" s="26" t="n"/>
    </row>
    <row r="745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26" t="n"/>
      <c r="K745" s="26" t="n"/>
      <c r="L745" s="26" t="n"/>
      <c r="M745" s="26" t="n"/>
      <c r="N745" s="26" t="n"/>
      <c r="O745" s="26" t="n"/>
      <c r="P745" s="26" t="n"/>
      <c r="Q745" s="26" t="n"/>
      <c r="R745" s="26" t="n"/>
      <c r="S745" s="26" t="n"/>
      <c r="T745" s="26" t="n"/>
      <c r="U745" s="26" t="n"/>
      <c r="V745" s="26" t="n"/>
      <c r="W745" s="26" t="n"/>
      <c r="X745" s="26" t="n"/>
      <c r="Y745" s="26" t="n"/>
      <c r="Z745" s="26" t="n"/>
    </row>
    <row r="746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26" t="n"/>
      <c r="K746" s="26" t="n"/>
      <c r="L746" s="26" t="n"/>
      <c r="M746" s="26" t="n"/>
      <c r="N746" s="26" t="n"/>
      <c r="O746" s="26" t="n"/>
      <c r="P746" s="26" t="n"/>
      <c r="Q746" s="26" t="n"/>
      <c r="R746" s="26" t="n"/>
      <c r="S746" s="26" t="n"/>
      <c r="T746" s="26" t="n"/>
      <c r="U746" s="26" t="n"/>
      <c r="V746" s="26" t="n"/>
      <c r="W746" s="26" t="n"/>
      <c r="X746" s="26" t="n"/>
      <c r="Y746" s="26" t="n"/>
      <c r="Z746" s="26" t="n"/>
    </row>
    <row r="747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26" t="n"/>
      <c r="K747" s="26" t="n"/>
      <c r="L747" s="26" t="n"/>
      <c r="M747" s="26" t="n"/>
      <c r="N747" s="26" t="n"/>
      <c r="O747" s="26" t="n"/>
      <c r="P747" s="26" t="n"/>
      <c r="Q747" s="26" t="n"/>
      <c r="R747" s="26" t="n"/>
      <c r="S747" s="26" t="n"/>
      <c r="T747" s="26" t="n"/>
      <c r="U747" s="26" t="n"/>
      <c r="V747" s="26" t="n"/>
      <c r="W747" s="26" t="n"/>
      <c r="X747" s="26" t="n"/>
      <c r="Y747" s="26" t="n"/>
      <c r="Z747" s="26" t="n"/>
    </row>
    <row r="748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26" t="n"/>
      <c r="K748" s="26" t="n"/>
      <c r="L748" s="26" t="n"/>
      <c r="M748" s="26" t="n"/>
      <c r="N748" s="26" t="n"/>
      <c r="O748" s="26" t="n"/>
      <c r="P748" s="26" t="n"/>
      <c r="Q748" s="26" t="n"/>
      <c r="R748" s="26" t="n"/>
      <c r="S748" s="26" t="n"/>
      <c r="T748" s="26" t="n"/>
      <c r="U748" s="26" t="n"/>
      <c r="V748" s="26" t="n"/>
      <c r="W748" s="26" t="n"/>
      <c r="X748" s="26" t="n"/>
      <c r="Y748" s="26" t="n"/>
      <c r="Z748" s="26" t="n"/>
    </row>
    <row r="749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26" t="n"/>
      <c r="K749" s="26" t="n"/>
      <c r="L749" s="26" t="n"/>
      <c r="M749" s="26" t="n"/>
      <c r="N749" s="26" t="n"/>
      <c r="O749" s="26" t="n"/>
      <c r="P749" s="26" t="n"/>
      <c r="Q749" s="26" t="n"/>
      <c r="R749" s="26" t="n"/>
      <c r="S749" s="26" t="n"/>
      <c r="T749" s="26" t="n"/>
      <c r="U749" s="26" t="n"/>
      <c r="V749" s="26" t="n"/>
      <c r="W749" s="26" t="n"/>
      <c r="X749" s="26" t="n"/>
      <c r="Y749" s="26" t="n"/>
      <c r="Z749" s="26" t="n"/>
    </row>
    <row r="750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26" t="n"/>
      <c r="K750" s="26" t="n"/>
      <c r="L750" s="26" t="n"/>
      <c r="M750" s="26" t="n"/>
      <c r="N750" s="26" t="n"/>
      <c r="O750" s="26" t="n"/>
      <c r="P750" s="26" t="n"/>
      <c r="Q750" s="26" t="n"/>
      <c r="R750" s="26" t="n"/>
      <c r="S750" s="26" t="n"/>
      <c r="T750" s="26" t="n"/>
      <c r="U750" s="26" t="n"/>
      <c r="V750" s="26" t="n"/>
      <c r="W750" s="26" t="n"/>
      <c r="X750" s="26" t="n"/>
      <c r="Y750" s="26" t="n"/>
      <c r="Z750" s="26" t="n"/>
    </row>
    <row r="751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26" t="n"/>
      <c r="K751" s="26" t="n"/>
      <c r="L751" s="26" t="n"/>
      <c r="M751" s="26" t="n"/>
      <c r="N751" s="26" t="n"/>
      <c r="O751" s="26" t="n"/>
      <c r="P751" s="26" t="n"/>
      <c r="Q751" s="26" t="n"/>
      <c r="R751" s="26" t="n"/>
      <c r="S751" s="26" t="n"/>
      <c r="T751" s="26" t="n"/>
      <c r="U751" s="26" t="n"/>
      <c r="V751" s="26" t="n"/>
      <c r="W751" s="26" t="n"/>
      <c r="X751" s="26" t="n"/>
      <c r="Y751" s="26" t="n"/>
      <c r="Z751" s="26" t="n"/>
    </row>
    <row r="752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26" t="n"/>
      <c r="K752" s="26" t="n"/>
      <c r="L752" s="26" t="n"/>
      <c r="M752" s="26" t="n"/>
      <c r="N752" s="26" t="n"/>
      <c r="O752" s="26" t="n"/>
      <c r="P752" s="26" t="n"/>
      <c r="Q752" s="26" t="n"/>
      <c r="R752" s="26" t="n"/>
      <c r="S752" s="26" t="n"/>
      <c r="T752" s="26" t="n"/>
      <c r="U752" s="26" t="n"/>
      <c r="V752" s="26" t="n"/>
      <c r="W752" s="26" t="n"/>
      <c r="X752" s="26" t="n"/>
      <c r="Y752" s="26" t="n"/>
      <c r="Z752" s="26" t="n"/>
    </row>
    <row r="753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26" t="n"/>
      <c r="K753" s="26" t="n"/>
      <c r="L753" s="26" t="n"/>
      <c r="M753" s="26" t="n"/>
      <c r="N753" s="26" t="n"/>
      <c r="O753" s="26" t="n"/>
      <c r="P753" s="26" t="n"/>
      <c r="Q753" s="26" t="n"/>
      <c r="R753" s="26" t="n"/>
      <c r="S753" s="26" t="n"/>
      <c r="T753" s="26" t="n"/>
      <c r="U753" s="26" t="n"/>
      <c r="V753" s="26" t="n"/>
      <c r="W753" s="26" t="n"/>
      <c r="X753" s="26" t="n"/>
      <c r="Y753" s="26" t="n"/>
      <c r="Z753" s="26" t="n"/>
    </row>
    <row r="754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26" t="n"/>
      <c r="K754" s="26" t="n"/>
      <c r="L754" s="26" t="n"/>
      <c r="M754" s="26" t="n"/>
      <c r="N754" s="26" t="n"/>
      <c r="O754" s="26" t="n"/>
      <c r="P754" s="26" t="n"/>
      <c r="Q754" s="26" t="n"/>
      <c r="R754" s="26" t="n"/>
      <c r="S754" s="26" t="n"/>
      <c r="T754" s="26" t="n"/>
      <c r="U754" s="26" t="n"/>
      <c r="V754" s="26" t="n"/>
      <c r="W754" s="26" t="n"/>
      <c r="X754" s="26" t="n"/>
      <c r="Y754" s="26" t="n"/>
      <c r="Z754" s="26" t="n"/>
    </row>
    <row r="755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26" t="n"/>
      <c r="K755" s="26" t="n"/>
      <c r="L755" s="26" t="n"/>
      <c r="M755" s="26" t="n"/>
      <c r="N755" s="26" t="n"/>
      <c r="O755" s="26" t="n"/>
      <c r="P755" s="26" t="n"/>
      <c r="Q755" s="26" t="n"/>
      <c r="R755" s="26" t="n"/>
      <c r="S755" s="26" t="n"/>
      <c r="T755" s="26" t="n"/>
      <c r="U755" s="26" t="n"/>
      <c r="V755" s="26" t="n"/>
      <c r="W755" s="26" t="n"/>
      <c r="X755" s="26" t="n"/>
      <c r="Y755" s="26" t="n"/>
      <c r="Z755" s="26" t="n"/>
    </row>
    <row r="756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26" t="n"/>
      <c r="K756" s="26" t="n"/>
      <c r="L756" s="26" t="n"/>
      <c r="M756" s="26" t="n"/>
      <c r="N756" s="26" t="n"/>
      <c r="O756" s="26" t="n"/>
      <c r="P756" s="26" t="n"/>
      <c r="Q756" s="26" t="n"/>
      <c r="R756" s="26" t="n"/>
      <c r="S756" s="26" t="n"/>
      <c r="T756" s="26" t="n"/>
      <c r="U756" s="26" t="n"/>
      <c r="V756" s="26" t="n"/>
      <c r="W756" s="26" t="n"/>
      <c r="X756" s="26" t="n"/>
      <c r="Y756" s="26" t="n"/>
      <c r="Z756" s="26" t="n"/>
    </row>
    <row r="757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26" t="n"/>
      <c r="K757" s="26" t="n"/>
      <c r="L757" s="26" t="n"/>
      <c r="M757" s="26" t="n"/>
      <c r="N757" s="26" t="n"/>
      <c r="O757" s="26" t="n"/>
      <c r="P757" s="26" t="n"/>
      <c r="Q757" s="26" t="n"/>
      <c r="R757" s="26" t="n"/>
      <c r="S757" s="26" t="n"/>
      <c r="T757" s="26" t="n"/>
      <c r="U757" s="26" t="n"/>
      <c r="V757" s="26" t="n"/>
      <c r="W757" s="26" t="n"/>
      <c r="X757" s="26" t="n"/>
      <c r="Y757" s="26" t="n"/>
      <c r="Z757" s="26" t="n"/>
    </row>
    <row r="758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26" t="n"/>
      <c r="K758" s="26" t="n"/>
      <c r="L758" s="26" t="n"/>
      <c r="M758" s="26" t="n"/>
      <c r="N758" s="26" t="n"/>
      <c r="O758" s="26" t="n"/>
      <c r="P758" s="26" t="n"/>
      <c r="Q758" s="26" t="n"/>
      <c r="R758" s="26" t="n"/>
      <c r="S758" s="26" t="n"/>
      <c r="T758" s="26" t="n"/>
      <c r="U758" s="26" t="n"/>
      <c r="V758" s="26" t="n"/>
      <c r="W758" s="26" t="n"/>
      <c r="X758" s="26" t="n"/>
      <c r="Y758" s="26" t="n"/>
      <c r="Z758" s="26" t="n"/>
    </row>
    <row r="759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26" t="n"/>
      <c r="K759" s="26" t="n"/>
      <c r="L759" s="26" t="n"/>
      <c r="M759" s="26" t="n"/>
      <c r="N759" s="26" t="n"/>
      <c r="O759" s="26" t="n"/>
      <c r="P759" s="26" t="n"/>
      <c r="Q759" s="26" t="n"/>
      <c r="R759" s="26" t="n"/>
      <c r="S759" s="26" t="n"/>
      <c r="T759" s="26" t="n"/>
      <c r="U759" s="26" t="n"/>
      <c r="V759" s="26" t="n"/>
      <c r="W759" s="26" t="n"/>
      <c r="X759" s="26" t="n"/>
      <c r="Y759" s="26" t="n"/>
      <c r="Z759" s="26" t="n"/>
    </row>
    <row r="760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n"/>
      <c r="R760" s="26" t="n"/>
      <c r="S760" s="26" t="n"/>
      <c r="T760" s="26" t="n"/>
      <c r="U760" s="26" t="n"/>
      <c r="V760" s="26" t="n"/>
      <c r="W760" s="26" t="n"/>
      <c r="X760" s="26" t="n"/>
      <c r="Y760" s="26" t="n"/>
      <c r="Z760" s="26" t="n"/>
    </row>
    <row r="761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n"/>
      <c r="R761" s="26" t="n"/>
      <c r="S761" s="26" t="n"/>
      <c r="T761" s="26" t="n"/>
      <c r="U761" s="26" t="n"/>
      <c r="V761" s="26" t="n"/>
      <c r="W761" s="26" t="n"/>
      <c r="X761" s="26" t="n"/>
      <c r="Y761" s="26" t="n"/>
      <c r="Z761" s="26" t="n"/>
    </row>
    <row r="762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26" t="n"/>
      <c r="K762" s="26" t="n"/>
      <c r="L762" s="26" t="n"/>
      <c r="M762" s="26" t="n"/>
      <c r="N762" s="26" t="n"/>
      <c r="O762" s="26" t="n"/>
      <c r="P762" s="26" t="n"/>
      <c r="Q762" s="26" t="n"/>
      <c r="R762" s="26" t="n"/>
      <c r="S762" s="26" t="n"/>
      <c r="T762" s="26" t="n"/>
      <c r="U762" s="26" t="n"/>
      <c r="V762" s="26" t="n"/>
      <c r="W762" s="26" t="n"/>
      <c r="X762" s="26" t="n"/>
      <c r="Y762" s="26" t="n"/>
      <c r="Z762" s="26" t="n"/>
    </row>
    <row r="763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26" t="n"/>
      <c r="K763" s="26" t="n"/>
      <c r="L763" s="26" t="n"/>
      <c r="M763" s="26" t="n"/>
      <c r="N763" s="26" t="n"/>
      <c r="O763" s="26" t="n"/>
      <c r="P763" s="26" t="n"/>
      <c r="Q763" s="26" t="n"/>
      <c r="R763" s="26" t="n"/>
      <c r="S763" s="26" t="n"/>
      <c r="T763" s="26" t="n"/>
      <c r="U763" s="26" t="n"/>
      <c r="V763" s="26" t="n"/>
      <c r="W763" s="26" t="n"/>
      <c r="X763" s="26" t="n"/>
      <c r="Y763" s="26" t="n"/>
      <c r="Z763" s="26" t="n"/>
    </row>
    <row r="764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26" t="n"/>
      <c r="K764" s="26" t="n"/>
      <c r="L764" s="26" t="n"/>
      <c r="M764" s="26" t="n"/>
      <c r="N764" s="26" t="n"/>
      <c r="O764" s="26" t="n"/>
      <c r="P764" s="26" t="n"/>
      <c r="Q764" s="26" t="n"/>
      <c r="R764" s="26" t="n"/>
      <c r="S764" s="26" t="n"/>
      <c r="T764" s="26" t="n"/>
      <c r="U764" s="26" t="n"/>
      <c r="V764" s="26" t="n"/>
      <c r="W764" s="26" t="n"/>
      <c r="X764" s="26" t="n"/>
      <c r="Y764" s="26" t="n"/>
      <c r="Z764" s="26" t="n"/>
    </row>
    <row r="765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26" t="n"/>
      <c r="K765" s="26" t="n"/>
      <c r="L765" s="26" t="n"/>
      <c r="M765" s="26" t="n"/>
      <c r="N765" s="26" t="n"/>
      <c r="O765" s="26" t="n"/>
      <c r="P765" s="26" t="n"/>
      <c r="Q765" s="26" t="n"/>
      <c r="R765" s="26" t="n"/>
      <c r="S765" s="26" t="n"/>
      <c r="T765" s="26" t="n"/>
      <c r="U765" s="26" t="n"/>
      <c r="V765" s="26" t="n"/>
      <c r="W765" s="26" t="n"/>
      <c r="X765" s="26" t="n"/>
      <c r="Y765" s="26" t="n"/>
      <c r="Z765" s="26" t="n"/>
    </row>
    <row r="766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26" t="n"/>
      <c r="K766" s="26" t="n"/>
      <c r="L766" s="26" t="n"/>
      <c r="M766" s="26" t="n"/>
      <c r="N766" s="26" t="n"/>
      <c r="O766" s="26" t="n"/>
      <c r="P766" s="26" t="n"/>
      <c r="Q766" s="26" t="n"/>
      <c r="R766" s="26" t="n"/>
      <c r="S766" s="26" t="n"/>
      <c r="T766" s="26" t="n"/>
      <c r="U766" s="26" t="n"/>
      <c r="V766" s="26" t="n"/>
      <c r="W766" s="26" t="n"/>
      <c r="X766" s="26" t="n"/>
      <c r="Y766" s="26" t="n"/>
      <c r="Z766" s="26" t="n"/>
    </row>
    <row r="767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26" t="n"/>
      <c r="K767" s="26" t="n"/>
      <c r="L767" s="26" t="n"/>
      <c r="M767" s="26" t="n"/>
      <c r="N767" s="26" t="n"/>
      <c r="O767" s="26" t="n"/>
      <c r="P767" s="26" t="n"/>
      <c r="Q767" s="26" t="n"/>
      <c r="R767" s="26" t="n"/>
      <c r="S767" s="26" t="n"/>
      <c r="T767" s="26" t="n"/>
      <c r="U767" s="26" t="n"/>
      <c r="V767" s="26" t="n"/>
      <c r="W767" s="26" t="n"/>
      <c r="X767" s="26" t="n"/>
      <c r="Y767" s="26" t="n"/>
      <c r="Z767" s="26" t="n"/>
    </row>
    <row r="768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26" t="n"/>
      <c r="K768" s="26" t="n"/>
      <c r="L768" s="26" t="n"/>
      <c r="M768" s="26" t="n"/>
      <c r="N768" s="26" t="n"/>
      <c r="O768" s="26" t="n"/>
      <c r="P768" s="26" t="n"/>
      <c r="Q768" s="26" t="n"/>
      <c r="R768" s="26" t="n"/>
      <c r="S768" s="26" t="n"/>
      <c r="T768" s="26" t="n"/>
      <c r="U768" s="26" t="n"/>
      <c r="V768" s="26" t="n"/>
      <c r="W768" s="26" t="n"/>
      <c r="X768" s="26" t="n"/>
      <c r="Y768" s="26" t="n"/>
      <c r="Z768" s="26" t="n"/>
    </row>
    <row r="769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26" t="n"/>
      <c r="K769" s="26" t="n"/>
      <c r="L769" s="26" t="n"/>
      <c r="M769" s="26" t="n"/>
      <c r="N769" s="26" t="n"/>
      <c r="O769" s="26" t="n"/>
      <c r="P769" s="26" t="n"/>
      <c r="Q769" s="26" t="n"/>
      <c r="R769" s="26" t="n"/>
      <c r="S769" s="26" t="n"/>
      <c r="T769" s="26" t="n"/>
      <c r="U769" s="26" t="n"/>
      <c r="V769" s="26" t="n"/>
      <c r="W769" s="26" t="n"/>
      <c r="X769" s="26" t="n"/>
      <c r="Y769" s="26" t="n"/>
      <c r="Z769" s="26" t="n"/>
    </row>
    <row r="770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26" t="n"/>
      <c r="K770" s="26" t="n"/>
      <c r="L770" s="26" t="n"/>
      <c r="M770" s="26" t="n"/>
      <c r="N770" s="26" t="n"/>
      <c r="O770" s="26" t="n"/>
      <c r="P770" s="26" t="n"/>
      <c r="Q770" s="26" t="n"/>
      <c r="R770" s="26" t="n"/>
      <c r="S770" s="26" t="n"/>
      <c r="T770" s="26" t="n"/>
      <c r="U770" s="26" t="n"/>
      <c r="V770" s="26" t="n"/>
      <c r="W770" s="26" t="n"/>
      <c r="X770" s="26" t="n"/>
      <c r="Y770" s="26" t="n"/>
      <c r="Z770" s="26" t="n"/>
    </row>
    <row r="771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26" t="n"/>
      <c r="K771" s="26" t="n"/>
      <c r="L771" s="26" t="n"/>
      <c r="M771" s="26" t="n"/>
      <c r="N771" s="26" t="n"/>
      <c r="O771" s="26" t="n"/>
      <c r="P771" s="26" t="n"/>
      <c r="Q771" s="26" t="n"/>
      <c r="R771" s="26" t="n"/>
      <c r="S771" s="26" t="n"/>
      <c r="T771" s="26" t="n"/>
      <c r="U771" s="26" t="n"/>
      <c r="V771" s="26" t="n"/>
      <c r="W771" s="26" t="n"/>
      <c r="X771" s="26" t="n"/>
      <c r="Y771" s="26" t="n"/>
      <c r="Z771" s="26" t="n"/>
    </row>
    <row r="772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26" t="n"/>
      <c r="K772" s="26" t="n"/>
      <c r="L772" s="26" t="n"/>
      <c r="M772" s="26" t="n"/>
      <c r="N772" s="26" t="n"/>
      <c r="O772" s="26" t="n"/>
      <c r="P772" s="26" t="n"/>
      <c r="Q772" s="26" t="n"/>
      <c r="R772" s="26" t="n"/>
      <c r="S772" s="26" t="n"/>
      <c r="T772" s="26" t="n"/>
      <c r="U772" s="26" t="n"/>
      <c r="V772" s="26" t="n"/>
      <c r="W772" s="26" t="n"/>
      <c r="X772" s="26" t="n"/>
      <c r="Y772" s="26" t="n"/>
      <c r="Z772" s="26" t="n"/>
    </row>
    <row r="773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26" t="n"/>
      <c r="K773" s="26" t="n"/>
      <c r="L773" s="26" t="n"/>
      <c r="M773" s="26" t="n"/>
      <c r="N773" s="26" t="n"/>
      <c r="O773" s="26" t="n"/>
      <c r="P773" s="26" t="n"/>
      <c r="Q773" s="26" t="n"/>
      <c r="R773" s="26" t="n"/>
      <c r="S773" s="26" t="n"/>
      <c r="T773" s="26" t="n"/>
      <c r="U773" s="26" t="n"/>
      <c r="V773" s="26" t="n"/>
      <c r="W773" s="26" t="n"/>
      <c r="X773" s="26" t="n"/>
      <c r="Y773" s="26" t="n"/>
      <c r="Z773" s="26" t="n"/>
    </row>
    <row r="774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26" t="n"/>
      <c r="K774" s="26" t="n"/>
      <c r="L774" s="26" t="n"/>
      <c r="M774" s="26" t="n"/>
      <c r="N774" s="26" t="n"/>
      <c r="O774" s="26" t="n"/>
      <c r="P774" s="26" t="n"/>
      <c r="Q774" s="26" t="n"/>
      <c r="R774" s="26" t="n"/>
      <c r="S774" s="26" t="n"/>
      <c r="T774" s="26" t="n"/>
      <c r="U774" s="26" t="n"/>
      <c r="V774" s="26" t="n"/>
      <c r="W774" s="26" t="n"/>
      <c r="X774" s="26" t="n"/>
      <c r="Y774" s="26" t="n"/>
      <c r="Z774" s="26" t="n"/>
    </row>
    <row r="775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26" t="n"/>
      <c r="K775" s="26" t="n"/>
      <c r="L775" s="26" t="n"/>
      <c r="M775" s="26" t="n"/>
      <c r="N775" s="26" t="n"/>
      <c r="O775" s="26" t="n"/>
      <c r="P775" s="26" t="n"/>
      <c r="Q775" s="26" t="n"/>
      <c r="R775" s="26" t="n"/>
      <c r="S775" s="26" t="n"/>
      <c r="T775" s="26" t="n"/>
      <c r="U775" s="26" t="n"/>
      <c r="V775" s="26" t="n"/>
      <c r="W775" s="26" t="n"/>
      <c r="X775" s="26" t="n"/>
      <c r="Y775" s="26" t="n"/>
      <c r="Z775" s="26" t="n"/>
    </row>
    <row r="776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26" t="n"/>
      <c r="K776" s="26" t="n"/>
      <c r="L776" s="26" t="n"/>
      <c r="M776" s="26" t="n"/>
      <c r="N776" s="26" t="n"/>
      <c r="O776" s="26" t="n"/>
      <c r="P776" s="26" t="n"/>
      <c r="Q776" s="26" t="n"/>
      <c r="R776" s="26" t="n"/>
      <c r="S776" s="26" t="n"/>
      <c r="T776" s="26" t="n"/>
      <c r="U776" s="26" t="n"/>
      <c r="V776" s="26" t="n"/>
      <c r="W776" s="26" t="n"/>
      <c r="X776" s="26" t="n"/>
      <c r="Y776" s="26" t="n"/>
      <c r="Z776" s="26" t="n"/>
    </row>
    <row r="777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26" t="n"/>
      <c r="K777" s="26" t="n"/>
      <c r="L777" s="26" t="n"/>
      <c r="M777" s="26" t="n"/>
      <c r="N777" s="26" t="n"/>
      <c r="O777" s="26" t="n"/>
      <c r="P777" s="26" t="n"/>
      <c r="Q777" s="26" t="n"/>
      <c r="R777" s="26" t="n"/>
      <c r="S777" s="26" t="n"/>
      <c r="T777" s="26" t="n"/>
      <c r="U777" s="26" t="n"/>
      <c r="V777" s="26" t="n"/>
      <c r="W777" s="26" t="n"/>
      <c r="X777" s="26" t="n"/>
      <c r="Y777" s="26" t="n"/>
      <c r="Z777" s="26" t="n"/>
    </row>
    <row r="778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26" t="n"/>
      <c r="K778" s="26" t="n"/>
      <c r="L778" s="26" t="n"/>
      <c r="M778" s="26" t="n"/>
      <c r="N778" s="26" t="n"/>
      <c r="O778" s="26" t="n"/>
      <c r="P778" s="26" t="n"/>
      <c r="Q778" s="26" t="n"/>
      <c r="R778" s="26" t="n"/>
      <c r="S778" s="26" t="n"/>
      <c r="T778" s="26" t="n"/>
      <c r="U778" s="26" t="n"/>
      <c r="V778" s="26" t="n"/>
      <c r="W778" s="26" t="n"/>
      <c r="X778" s="26" t="n"/>
      <c r="Y778" s="26" t="n"/>
      <c r="Z778" s="26" t="n"/>
    </row>
    <row r="779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26" t="n"/>
      <c r="K779" s="26" t="n"/>
      <c r="L779" s="26" t="n"/>
      <c r="M779" s="26" t="n"/>
      <c r="N779" s="26" t="n"/>
      <c r="O779" s="26" t="n"/>
      <c r="P779" s="26" t="n"/>
      <c r="Q779" s="26" t="n"/>
      <c r="R779" s="26" t="n"/>
      <c r="S779" s="26" t="n"/>
      <c r="T779" s="26" t="n"/>
      <c r="U779" s="26" t="n"/>
      <c r="V779" s="26" t="n"/>
      <c r="W779" s="26" t="n"/>
      <c r="X779" s="26" t="n"/>
      <c r="Y779" s="26" t="n"/>
      <c r="Z779" s="26" t="n"/>
    </row>
    <row r="780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26" t="n"/>
      <c r="K780" s="26" t="n"/>
      <c r="L780" s="26" t="n"/>
      <c r="M780" s="26" t="n"/>
      <c r="N780" s="26" t="n"/>
      <c r="O780" s="26" t="n"/>
      <c r="P780" s="26" t="n"/>
      <c r="Q780" s="26" t="n"/>
      <c r="R780" s="26" t="n"/>
      <c r="S780" s="26" t="n"/>
      <c r="T780" s="26" t="n"/>
      <c r="U780" s="26" t="n"/>
      <c r="V780" s="26" t="n"/>
      <c r="W780" s="26" t="n"/>
      <c r="X780" s="26" t="n"/>
      <c r="Y780" s="26" t="n"/>
      <c r="Z780" s="26" t="n"/>
    </row>
    <row r="781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26" t="n"/>
      <c r="K781" s="26" t="n"/>
      <c r="L781" s="26" t="n"/>
      <c r="M781" s="26" t="n"/>
      <c r="N781" s="26" t="n"/>
      <c r="O781" s="26" t="n"/>
      <c r="P781" s="26" t="n"/>
      <c r="Q781" s="26" t="n"/>
      <c r="R781" s="26" t="n"/>
      <c r="S781" s="26" t="n"/>
      <c r="T781" s="26" t="n"/>
      <c r="U781" s="26" t="n"/>
      <c r="V781" s="26" t="n"/>
      <c r="W781" s="26" t="n"/>
      <c r="X781" s="26" t="n"/>
      <c r="Y781" s="26" t="n"/>
      <c r="Z781" s="26" t="n"/>
    </row>
    <row r="782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26" t="n"/>
      <c r="K782" s="26" t="n"/>
      <c r="L782" s="26" t="n"/>
      <c r="M782" s="26" t="n"/>
      <c r="N782" s="26" t="n"/>
      <c r="O782" s="26" t="n"/>
      <c r="P782" s="26" t="n"/>
      <c r="Q782" s="26" t="n"/>
      <c r="R782" s="26" t="n"/>
      <c r="S782" s="26" t="n"/>
      <c r="T782" s="26" t="n"/>
      <c r="U782" s="26" t="n"/>
      <c r="V782" s="26" t="n"/>
      <c r="W782" s="26" t="n"/>
      <c r="X782" s="26" t="n"/>
      <c r="Y782" s="26" t="n"/>
      <c r="Z782" s="26" t="n"/>
    </row>
    <row r="783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26" t="n"/>
      <c r="K783" s="26" t="n"/>
      <c r="L783" s="26" t="n"/>
      <c r="M783" s="26" t="n"/>
      <c r="N783" s="26" t="n"/>
      <c r="O783" s="26" t="n"/>
      <c r="P783" s="26" t="n"/>
      <c r="Q783" s="26" t="n"/>
      <c r="R783" s="26" t="n"/>
      <c r="S783" s="26" t="n"/>
      <c r="T783" s="26" t="n"/>
      <c r="U783" s="26" t="n"/>
      <c r="V783" s="26" t="n"/>
      <c r="W783" s="26" t="n"/>
      <c r="X783" s="26" t="n"/>
      <c r="Y783" s="26" t="n"/>
      <c r="Z783" s="26" t="n"/>
    </row>
    <row r="784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26" t="n"/>
      <c r="K784" s="26" t="n"/>
      <c r="L784" s="26" t="n"/>
      <c r="M784" s="26" t="n"/>
      <c r="N784" s="26" t="n"/>
      <c r="O784" s="26" t="n"/>
      <c r="P784" s="26" t="n"/>
      <c r="Q784" s="26" t="n"/>
      <c r="R784" s="26" t="n"/>
      <c r="S784" s="26" t="n"/>
      <c r="T784" s="26" t="n"/>
      <c r="U784" s="26" t="n"/>
      <c r="V784" s="26" t="n"/>
      <c r="W784" s="26" t="n"/>
      <c r="X784" s="26" t="n"/>
      <c r="Y784" s="26" t="n"/>
      <c r="Z784" s="26" t="n"/>
    </row>
    <row r="785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26" t="n"/>
      <c r="K785" s="26" t="n"/>
      <c r="L785" s="26" t="n"/>
      <c r="M785" s="26" t="n"/>
      <c r="N785" s="26" t="n"/>
      <c r="O785" s="26" t="n"/>
      <c r="P785" s="26" t="n"/>
      <c r="Q785" s="26" t="n"/>
      <c r="R785" s="26" t="n"/>
      <c r="S785" s="26" t="n"/>
      <c r="T785" s="26" t="n"/>
      <c r="U785" s="26" t="n"/>
      <c r="V785" s="26" t="n"/>
      <c r="W785" s="26" t="n"/>
      <c r="X785" s="26" t="n"/>
      <c r="Y785" s="26" t="n"/>
      <c r="Z785" s="26" t="n"/>
    </row>
    <row r="786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26" t="n"/>
      <c r="K786" s="26" t="n"/>
      <c r="L786" s="26" t="n"/>
      <c r="M786" s="26" t="n"/>
      <c r="N786" s="26" t="n"/>
      <c r="O786" s="26" t="n"/>
      <c r="P786" s="26" t="n"/>
      <c r="Q786" s="26" t="n"/>
      <c r="R786" s="26" t="n"/>
      <c r="S786" s="26" t="n"/>
      <c r="T786" s="26" t="n"/>
      <c r="U786" s="26" t="n"/>
      <c r="V786" s="26" t="n"/>
      <c r="W786" s="26" t="n"/>
      <c r="X786" s="26" t="n"/>
      <c r="Y786" s="26" t="n"/>
      <c r="Z786" s="26" t="n"/>
    </row>
    <row r="787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26" t="n"/>
      <c r="K787" s="26" t="n"/>
      <c r="L787" s="26" t="n"/>
      <c r="M787" s="26" t="n"/>
      <c r="N787" s="26" t="n"/>
      <c r="O787" s="26" t="n"/>
      <c r="P787" s="26" t="n"/>
      <c r="Q787" s="26" t="n"/>
      <c r="R787" s="26" t="n"/>
      <c r="S787" s="26" t="n"/>
      <c r="T787" s="26" t="n"/>
      <c r="U787" s="26" t="n"/>
      <c r="V787" s="26" t="n"/>
      <c r="W787" s="26" t="n"/>
      <c r="X787" s="26" t="n"/>
      <c r="Y787" s="26" t="n"/>
      <c r="Z787" s="26" t="n"/>
    </row>
    <row r="788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26" t="n"/>
      <c r="K788" s="26" t="n"/>
      <c r="L788" s="26" t="n"/>
      <c r="M788" s="26" t="n"/>
      <c r="N788" s="26" t="n"/>
      <c r="O788" s="26" t="n"/>
      <c r="P788" s="26" t="n"/>
      <c r="Q788" s="26" t="n"/>
      <c r="R788" s="26" t="n"/>
      <c r="S788" s="26" t="n"/>
      <c r="T788" s="26" t="n"/>
      <c r="U788" s="26" t="n"/>
      <c r="V788" s="26" t="n"/>
      <c r="W788" s="26" t="n"/>
      <c r="X788" s="26" t="n"/>
      <c r="Y788" s="26" t="n"/>
      <c r="Z788" s="26" t="n"/>
    </row>
    <row r="789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26" t="n"/>
      <c r="K789" s="26" t="n"/>
      <c r="L789" s="26" t="n"/>
      <c r="M789" s="26" t="n"/>
      <c r="N789" s="26" t="n"/>
      <c r="O789" s="26" t="n"/>
      <c r="P789" s="26" t="n"/>
      <c r="Q789" s="26" t="n"/>
      <c r="R789" s="26" t="n"/>
      <c r="S789" s="26" t="n"/>
      <c r="T789" s="26" t="n"/>
      <c r="U789" s="26" t="n"/>
      <c r="V789" s="26" t="n"/>
      <c r="W789" s="26" t="n"/>
      <c r="X789" s="26" t="n"/>
      <c r="Y789" s="26" t="n"/>
      <c r="Z789" s="26" t="n"/>
    </row>
    <row r="790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26" t="n"/>
      <c r="K790" s="26" t="n"/>
      <c r="L790" s="26" t="n"/>
      <c r="M790" s="26" t="n"/>
      <c r="N790" s="26" t="n"/>
      <c r="O790" s="26" t="n"/>
      <c r="P790" s="26" t="n"/>
      <c r="Q790" s="26" t="n"/>
      <c r="R790" s="26" t="n"/>
      <c r="S790" s="26" t="n"/>
      <c r="T790" s="26" t="n"/>
      <c r="U790" s="26" t="n"/>
      <c r="V790" s="26" t="n"/>
      <c r="W790" s="26" t="n"/>
      <c r="X790" s="26" t="n"/>
      <c r="Y790" s="26" t="n"/>
      <c r="Z790" s="26" t="n"/>
    </row>
    <row r="791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26" t="n"/>
      <c r="K791" s="26" t="n"/>
      <c r="L791" s="26" t="n"/>
      <c r="M791" s="26" t="n"/>
      <c r="N791" s="26" t="n"/>
      <c r="O791" s="26" t="n"/>
      <c r="P791" s="26" t="n"/>
      <c r="Q791" s="26" t="n"/>
      <c r="R791" s="26" t="n"/>
      <c r="S791" s="26" t="n"/>
      <c r="T791" s="26" t="n"/>
      <c r="U791" s="26" t="n"/>
      <c r="V791" s="26" t="n"/>
      <c r="W791" s="26" t="n"/>
      <c r="X791" s="26" t="n"/>
      <c r="Y791" s="26" t="n"/>
      <c r="Z791" s="26" t="n"/>
    </row>
    <row r="792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n"/>
      <c r="R792" s="26" t="n"/>
      <c r="S792" s="26" t="n"/>
      <c r="T792" s="26" t="n"/>
      <c r="U792" s="26" t="n"/>
      <c r="V792" s="26" t="n"/>
      <c r="W792" s="26" t="n"/>
      <c r="X792" s="26" t="n"/>
      <c r="Y792" s="26" t="n"/>
      <c r="Z792" s="26" t="n"/>
    </row>
    <row r="793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n"/>
      <c r="R793" s="26" t="n"/>
      <c r="S793" s="26" t="n"/>
      <c r="T793" s="26" t="n"/>
      <c r="U793" s="26" t="n"/>
      <c r="V793" s="26" t="n"/>
      <c r="W793" s="26" t="n"/>
      <c r="X793" s="26" t="n"/>
      <c r="Y793" s="26" t="n"/>
      <c r="Z793" s="26" t="n"/>
    </row>
    <row r="794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n"/>
      <c r="R794" s="26" t="n"/>
      <c r="S794" s="26" t="n"/>
      <c r="T794" s="26" t="n"/>
      <c r="U794" s="26" t="n"/>
      <c r="V794" s="26" t="n"/>
      <c r="W794" s="26" t="n"/>
      <c r="X794" s="26" t="n"/>
      <c r="Y794" s="26" t="n"/>
      <c r="Z794" s="26" t="n"/>
    </row>
    <row r="795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n"/>
      <c r="R795" s="26" t="n"/>
      <c r="S795" s="26" t="n"/>
      <c r="T795" s="26" t="n"/>
      <c r="U795" s="26" t="n"/>
      <c r="V795" s="26" t="n"/>
      <c r="W795" s="26" t="n"/>
      <c r="X795" s="26" t="n"/>
      <c r="Y795" s="26" t="n"/>
      <c r="Z795" s="26" t="n"/>
    </row>
    <row r="796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n"/>
      <c r="R796" s="26" t="n"/>
      <c r="S796" s="26" t="n"/>
      <c r="T796" s="26" t="n"/>
      <c r="U796" s="26" t="n"/>
      <c r="V796" s="26" t="n"/>
      <c r="W796" s="26" t="n"/>
      <c r="X796" s="26" t="n"/>
      <c r="Y796" s="26" t="n"/>
      <c r="Z796" s="26" t="n"/>
    </row>
    <row r="797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n"/>
      <c r="R797" s="26" t="n"/>
      <c r="S797" s="26" t="n"/>
      <c r="T797" s="26" t="n"/>
      <c r="U797" s="26" t="n"/>
      <c r="V797" s="26" t="n"/>
      <c r="W797" s="26" t="n"/>
      <c r="X797" s="26" t="n"/>
      <c r="Y797" s="26" t="n"/>
      <c r="Z797" s="26" t="n"/>
    </row>
    <row r="798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n"/>
      <c r="R798" s="26" t="n"/>
      <c r="S798" s="26" t="n"/>
      <c r="T798" s="26" t="n"/>
      <c r="U798" s="26" t="n"/>
      <c r="V798" s="26" t="n"/>
      <c r="W798" s="26" t="n"/>
      <c r="X798" s="26" t="n"/>
      <c r="Y798" s="26" t="n"/>
      <c r="Z798" s="26" t="n"/>
    </row>
    <row r="799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n"/>
      <c r="R799" s="26" t="n"/>
      <c r="S799" s="26" t="n"/>
      <c r="T799" s="26" t="n"/>
      <c r="U799" s="26" t="n"/>
      <c r="V799" s="26" t="n"/>
      <c r="W799" s="26" t="n"/>
      <c r="X799" s="26" t="n"/>
      <c r="Y799" s="26" t="n"/>
      <c r="Z799" s="26" t="n"/>
    </row>
    <row r="800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n"/>
      <c r="R800" s="26" t="n"/>
      <c r="S800" s="26" t="n"/>
      <c r="T800" s="26" t="n"/>
      <c r="U800" s="26" t="n"/>
      <c r="V800" s="26" t="n"/>
      <c r="W800" s="26" t="n"/>
      <c r="X800" s="26" t="n"/>
      <c r="Y800" s="26" t="n"/>
      <c r="Z800" s="26" t="n"/>
    </row>
    <row r="801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n"/>
      <c r="R801" s="26" t="n"/>
      <c r="S801" s="26" t="n"/>
      <c r="T801" s="26" t="n"/>
      <c r="U801" s="26" t="n"/>
      <c r="V801" s="26" t="n"/>
      <c r="W801" s="26" t="n"/>
      <c r="X801" s="26" t="n"/>
      <c r="Y801" s="26" t="n"/>
      <c r="Z801" s="26" t="n"/>
    </row>
    <row r="802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26" t="n"/>
      <c r="K802" s="26" t="n"/>
      <c r="L802" s="26" t="n"/>
      <c r="M802" s="26" t="n"/>
      <c r="N802" s="26" t="n"/>
      <c r="O802" s="26" t="n"/>
      <c r="P802" s="26" t="n"/>
      <c r="Q802" s="26" t="n"/>
      <c r="R802" s="26" t="n"/>
      <c r="S802" s="26" t="n"/>
      <c r="T802" s="26" t="n"/>
      <c r="U802" s="26" t="n"/>
      <c r="V802" s="26" t="n"/>
      <c r="W802" s="26" t="n"/>
      <c r="X802" s="26" t="n"/>
      <c r="Y802" s="26" t="n"/>
      <c r="Z802" s="26" t="n"/>
    </row>
    <row r="803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26" t="n"/>
      <c r="K803" s="26" t="n"/>
      <c r="L803" s="26" t="n"/>
      <c r="M803" s="26" t="n"/>
      <c r="N803" s="26" t="n"/>
      <c r="O803" s="26" t="n"/>
      <c r="P803" s="26" t="n"/>
      <c r="Q803" s="26" t="n"/>
      <c r="R803" s="26" t="n"/>
      <c r="S803" s="26" t="n"/>
      <c r="T803" s="26" t="n"/>
      <c r="U803" s="26" t="n"/>
      <c r="V803" s="26" t="n"/>
      <c r="W803" s="26" t="n"/>
      <c r="X803" s="26" t="n"/>
      <c r="Y803" s="26" t="n"/>
      <c r="Z803" s="26" t="n"/>
    </row>
    <row r="804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26" t="n"/>
      <c r="K804" s="26" t="n"/>
      <c r="L804" s="26" t="n"/>
      <c r="M804" s="26" t="n"/>
      <c r="N804" s="26" t="n"/>
      <c r="O804" s="26" t="n"/>
      <c r="P804" s="26" t="n"/>
      <c r="Q804" s="26" t="n"/>
      <c r="R804" s="26" t="n"/>
      <c r="S804" s="26" t="n"/>
      <c r="T804" s="26" t="n"/>
      <c r="U804" s="26" t="n"/>
      <c r="V804" s="26" t="n"/>
      <c r="W804" s="26" t="n"/>
      <c r="X804" s="26" t="n"/>
      <c r="Y804" s="26" t="n"/>
      <c r="Z804" s="26" t="n"/>
    </row>
    <row r="805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26" t="n"/>
      <c r="K805" s="26" t="n"/>
      <c r="L805" s="26" t="n"/>
      <c r="M805" s="26" t="n"/>
      <c r="N805" s="26" t="n"/>
      <c r="O805" s="26" t="n"/>
      <c r="P805" s="26" t="n"/>
      <c r="Q805" s="26" t="n"/>
      <c r="R805" s="26" t="n"/>
      <c r="S805" s="26" t="n"/>
      <c r="T805" s="26" t="n"/>
      <c r="U805" s="26" t="n"/>
      <c r="V805" s="26" t="n"/>
      <c r="W805" s="26" t="n"/>
      <c r="X805" s="26" t="n"/>
      <c r="Y805" s="26" t="n"/>
      <c r="Z805" s="26" t="n"/>
    </row>
    <row r="806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26" t="n"/>
      <c r="K806" s="26" t="n"/>
      <c r="L806" s="26" t="n"/>
      <c r="M806" s="26" t="n"/>
      <c r="N806" s="26" t="n"/>
      <c r="O806" s="26" t="n"/>
      <c r="P806" s="26" t="n"/>
      <c r="Q806" s="26" t="n"/>
      <c r="R806" s="26" t="n"/>
      <c r="S806" s="26" t="n"/>
      <c r="T806" s="26" t="n"/>
      <c r="U806" s="26" t="n"/>
      <c r="V806" s="26" t="n"/>
      <c r="W806" s="26" t="n"/>
      <c r="X806" s="26" t="n"/>
      <c r="Y806" s="26" t="n"/>
      <c r="Z806" s="26" t="n"/>
    </row>
    <row r="807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26" t="n"/>
      <c r="K807" s="26" t="n"/>
      <c r="L807" s="26" t="n"/>
      <c r="M807" s="26" t="n"/>
      <c r="N807" s="26" t="n"/>
      <c r="O807" s="26" t="n"/>
      <c r="P807" s="26" t="n"/>
      <c r="Q807" s="26" t="n"/>
      <c r="R807" s="26" t="n"/>
      <c r="S807" s="26" t="n"/>
      <c r="T807" s="26" t="n"/>
      <c r="U807" s="26" t="n"/>
      <c r="V807" s="26" t="n"/>
      <c r="W807" s="26" t="n"/>
      <c r="X807" s="26" t="n"/>
      <c r="Y807" s="26" t="n"/>
      <c r="Z807" s="26" t="n"/>
    </row>
    <row r="808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26" t="n"/>
      <c r="K808" s="26" t="n"/>
      <c r="L808" s="26" t="n"/>
      <c r="M808" s="26" t="n"/>
      <c r="N808" s="26" t="n"/>
      <c r="O808" s="26" t="n"/>
      <c r="P808" s="26" t="n"/>
      <c r="Q808" s="26" t="n"/>
      <c r="R808" s="26" t="n"/>
      <c r="S808" s="26" t="n"/>
      <c r="T808" s="26" t="n"/>
      <c r="U808" s="26" t="n"/>
      <c r="V808" s="26" t="n"/>
      <c r="W808" s="26" t="n"/>
      <c r="X808" s="26" t="n"/>
      <c r="Y808" s="26" t="n"/>
      <c r="Z808" s="26" t="n"/>
    </row>
    <row r="809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26" t="n"/>
      <c r="K809" s="26" t="n"/>
      <c r="L809" s="26" t="n"/>
      <c r="M809" s="26" t="n"/>
      <c r="N809" s="26" t="n"/>
      <c r="O809" s="26" t="n"/>
      <c r="P809" s="26" t="n"/>
      <c r="Q809" s="26" t="n"/>
      <c r="R809" s="26" t="n"/>
      <c r="S809" s="26" t="n"/>
      <c r="T809" s="26" t="n"/>
      <c r="U809" s="26" t="n"/>
      <c r="V809" s="26" t="n"/>
      <c r="W809" s="26" t="n"/>
      <c r="X809" s="26" t="n"/>
      <c r="Y809" s="26" t="n"/>
      <c r="Z809" s="26" t="n"/>
    </row>
    <row r="810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26" t="n"/>
      <c r="K810" s="26" t="n"/>
      <c r="L810" s="26" t="n"/>
      <c r="M810" s="26" t="n"/>
      <c r="N810" s="26" t="n"/>
      <c r="O810" s="26" t="n"/>
      <c r="P810" s="26" t="n"/>
      <c r="Q810" s="26" t="n"/>
      <c r="R810" s="26" t="n"/>
      <c r="S810" s="26" t="n"/>
      <c r="T810" s="26" t="n"/>
      <c r="U810" s="26" t="n"/>
      <c r="V810" s="26" t="n"/>
      <c r="W810" s="26" t="n"/>
      <c r="X810" s="26" t="n"/>
      <c r="Y810" s="26" t="n"/>
      <c r="Z810" s="26" t="n"/>
    </row>
    <row r="811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26" t="n"/>
      <c r="K811" s="26" t="n"/>
      <c r="L811" s="26" t="n"/>
      <c r="M811" s="26" t="n"/>
      <c r="N811" s="26" t="n"/>
      <c r="O811" s="26" t="n"/>
      <c r="P811" s="26" t="n"/>
      <c r="Q811" s="26" t="n"/>
      <c r="R811" s="26" t="n"/>
      <c r="S811" s="26" t="n"/>
      <c r="T811" s="26" t="n"/>
      <c r="U811" s="26" t="n"/>
      <c r="V811" s="26" t="n"/>
      <c r="W811" s="26" t="n"/>
      <c r="X811" s="26" t="n"/>
      <c r="Y811" s="26" t="n"/>
      <c r="Z811" s="26" t="n"/>
    </row>
    <row r="812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26" t="n"/>
      <c r="K812" s="26" t="n"/>
      <c r="L812" s="26" t="n"/>
      <c r="M812" s="26" t="n"/>
      <c r="N812" s="26" t="n"/>
      <c r="O812" s="26" t="n"/>
      <c r="P812" s="26" t="n"/>
      <c r="Q812" s="26" t="n"/>
      <c r="R812" s="26" t="n"/>
      <c r="S812" s="26" t="n"/>
      <c r="T812" s="26" t="n"/>
      <c r="U812" s="26" t="n"/>
      <c r="V812" s="26" t="n"/>
      <c r="W812" s="26" t="n"/>
      <c r="X812" s="26" t="n"/>
      <c r="Y812" s="26" t="n"/>
      <c r="Z812" s="26" t="n"/>
    </row>
    <row r="813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26" t="n"/>
      <c r="K813" s="26" t="n"/>
      <c r="L813" s="26" t="n"/>
      <c r="M813" s="26" t="n"/>
      <c r="N813" s="26" t="n"/>
      <c r="O813" s="26" t="n"/>
      <c r="P813" s="26" t="n"/>
      <c r="Q813" s="26" t="n"/>
      <c r="R813" s="26" t="n"/>
      <c r="S813" s="26" t="n"/>
      <c r="T813" s="26" t="n"/>
      <c r="U813" s="26" t="n"/>
      <c r="V813" s="26" t="n"/>
      <c r="W813" s="26" t="n"/>
      <c r="X813" s="26" t="n"/>
      <c r="Y813" s="26" t="n"/>
      <c r="Z813" s="26" t="n"/>
    </row>
    <row r="814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26" t="n"/>
      <c r="K814" s="26" t="n"/>
      <c r="L814" s="26" t="n"/>
      <c r="M814" s="26" t="n"/>
      <c r="N814" s="26" t="n"/>
      <c r="O814" s="26" t="n"/>
      <c r="P814" s="26" t="n"/>
      <c r="Q814" s="26" t="n"/>
      <c r="R814" s="26" t="n"/>
      <c r="S814" s="26" t="n"/>
      <c r="T814" s="26" t="n"/>
      <c r="U814" s="26" t="n"/>
      <c r="V814" s="26" t="n"/>
      <c r="W814" s="26" t="n"/>
      <c r="X814" s="26" t="n"/>
      <c r="Y814" s="26" t="n"/>
      <c r="Z814" s="26" t="n"/>
    </row>
    <row r="815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26" t="n"/>
      <c r="K815" s="26" t="n"/>
      <c r="L815" s="26" t="n"/>
      <c r="M815" s="26" t="n"/>
      <c r="N815" s="26" t="n"/>
      <c r="O815" s="26" t="n"/>
      <c r="P815" s="26" t="n"/>
      <c r="Q815" s="26" t="n"/>
      <c r="R815" s="26" t="n"/>
      <c r="S815" s="26" t="n"/>
      <c r="T815" s="26" t="n"/>
      <c r="U815" s="26" t="n"/>
      <c r="V815" s="26" t="n"/>
      <c r="W815" s="26" t="n"/>
      <c r="X815" s="26" t="n"/>
      <c r="Y815" s="26" t="n"/>
      <c r="Z815" s="26" t="n"/>
    </row>
    <row r="816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26" t="n"/>
      <c r="K816" s="26" t="n"/>
      <c r="L816" s="26" t="n"/>
      <c r="M816" s="26" t="n"/>
      <c r="N816" s="26" t="n"/>
      <c r="O816" s="26" t="n"/>
      <c r="P816" s="26" t="n"/>
      <c r="Q816" s="26" t="n"/>
      <c r="R816" s="26" t="n"/>
      <c r="S816" s="26" t="n"/>
      <c r="T816" s="26" t="n"/>
      <c r="U816" s="26" t="n"/>
      <c r="V816" s="26" t="n"/>
      <c r="W816" s="26" t="n"/>
      <c r="X816" s="26" t="n"/>
      <c r="Y816" s="26" t="n"/>
      <c r="Z816" s="26" t="n"/>
    </row>
    <row r="817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26" t="n"/>
      <c r="K817" s="26" t="n"/>
      <c r="L817" s="26" t="n"/>
      <c r="M817" s="26" t="n"/>
      <c r="N817" s="26" t="n"/>
      <c r="O817" s="26" t="n"/>
      <c r="P817" s="26" t="n"/>
      <c r="Q817" s="26" t="n"/>
      <c r="R817" s="26" t="n"/>
      <c r="S817" s="26" t="n"/>
      <c r="T817" s="26" t="n"/>
      <c r="U817" s="26" t="n"/>
      <c r="V817" s="26" t="n"/>
      <c r="W817" s="26" t="n"/>
      <c r="X817" s="26" t="n"/>
      <c r="Y817" s="26" t="n"/>
      <c r="Z817" s="26" t="n"/>
    </row>
    <row r="818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26" t="n"/>
      <c r="K818" s="26" t="n"/>
      <c r="L818" s="26" t="n"/>
      <c r="M818" s="26" t="n"/>
      <c r="N818" s="26" t="n"/>
      <c r="O818" s="26" t="n"/>
      <c r="P818" s="26" t="n"/>
      <c r="Q818" s="26" t="n"/>
      <c r="R818" s="26" t="n"/>
      <c r="S818" s="26" t="n"/>
      <c r="T818" s="26" t="n"/>
      <c r="U818" s="26" t="n"/>
      <c r="V818" s="26" t="n"/>
      <c r="W818" s="26" t="n"/>
      <c r="X818" s="26" t="n"/>
      <c r="Y818" s="26" t="n"/>
      <c r="Z818" s="26" t="n"/>
    </row>
    <row r="819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26" t="n"/>
      <c r="K819" s="26" t="n"/>
      <c r="L819" s="26" t="n"/>
      <c r="M819" s="26" t="n"/>
      <c r="N819" s="26" t="n"/>
      <c r="O819" s="26" t="n"/>
      <c r="P819" s="26" t="n"/>
      <c r="Q819" s="26" t="n"/>
      <c r="R819" s="26" t="n"/>
      <c r="S819" s="26" t="n"/>
      <c r="T819" s="26" t="n"/>
      <c r="U819" s="26" t="n"/>
      <c r="V819" s="26" t="n"/>
      <c r="W819" s="26" t="n"/>
      <c r="X819" s="26" t="n"/>
      <c r="Y819" s="26" t="n"/>
      <c r="Z819" s="26" t="n"/>
    </row>
    <row r="820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26" t="n"/>
      <c r="K820" s="26" t="n"/>
      <c r="L820" s="26" t="n"/>
      <c r="M820" s="26" t="n"/>
      <c r="N820" s="26" t="n"/>
      <c r="O820" s="26" t="n"/>
      <c r="P820" s="26" t="n"/>
      <c r="Q820" s="26" t="n"/>
      <c r="R820" s="26" t="n"/>
      <c r="S820" s="26" t="n"/>
      <c r="T820" s="26" t="n"/>
      <c r="U820" s="26" t="n"/>
      <c r="V820" s="26" t="n"/>
      <c r="W820" s="26" t="n"/>
      <c r="X820" s="26" t="n"/>
      <c r="Y820" s="26" t="n"/>
      <c r="Z820" s="26" t="n"/>
    </row>
    <row r="821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26" t="n"/>
      <c r="K821" s="26" t="n"/>
      <c r="L821" s="26" t="n"/>
      <c r="M821" s="26" t="n"/>
      <c r="N821" s="26" t="n"/>
      <c r="O821" s="26" t="n"/>
      <c r="P821" s="26" t="n"/>
      <c r="Q821" s="26" t="n"/>
      <c r="R821" s="26" t="n"/>
      <c r="S821" s="26" t="n"/>
      <c r="T821" s="26" t="n"/>
      <c r="U821" s="26" t="n"/>
      <c r="V821" s="26" t="n"/>
      <c r="W821" s="26" t="n"/>
      <c r="X821" s="26" t="n"/>
      <c r="Y821" s="26" t="n"/>
      <c r="Z821" s="26" t="n"/>
    </row>
    <row r="822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26" t="n"/>
      <c r="K822" s="26" t="n"/>
      <c r="L822" s="26" t="n"/>
      <c r="M822" s="26" t="n"/>
      <c r="N822" s="26" t="n"/>
      <c r="O822" s="26" t="n"/>
      <c r="P822" s="26" t="n"/>
      <c r="Q822" s="26" t="n"/>
      <c r="R822" s="26" t="n"/>
      <c r="S822" s="26" t="n"/>
      <c r="T822" s="26" t="n"/>
      <c r="U822" s="26" t="n"/>
      <c r="V822" s="26" t="n"/>
      <c r="W822" s="26" t="n"/>
      <c r="X822" s="26" t="n"/>
      <c r="Y822" s="26" t="n"/>
      <c r="Z822" s="26" t="n"/>
    </row>
    <row r="823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26" t="n"/>
      <c r="K823" s="26" t="n"/>
      <c r="L823" s="26" t="n"/>
      <c r="M823" s="26" t="n"/>
      <c r="N823" s="26" t="n"/>
      <c r="O823" s="26" t="n"/>
      <c r="P823" s="26" t="n"/>
      <c r="Q823" s="26" t="n"/>
      <c r="R823" s="26" t="n"/>
      <c r="S823" s="26" t="n"/>
      <c r="T823" s="26" t="n"/>
      <c r="U823" s="26" t="n"/>
      <c r="V823" s="26" t="n"/>
      <c r="W823" s="26" t="n"/>
      <c r="X823" s="26" t="n"/>
      <c r="Y823" s="26" t="n"/>
      <c r="Z823" s="26" t="n"/>
    </row>
    <row r="824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26" t="n"/>
      <c r="K824" s="26" t="n"/>
      <c r="L824" s="26" t="n"/>
      <c r="M824" s="26" t="n"/>
      <c r="N824" s="26" t="n"/>
      <c r="O824" s="26" t="n"/>
      <c r="P824" s="26" t="n"/>
      <c r="Q824" s="26" t="n"/>
      <c r="R824" s="26" t="n"/>
      <c r="S824" s="26" t="n"/>
      <c r="T824" s="26" t="n"/>
      <c r="U824" s="26" t="n"/>
      <c r="V824" s="26" t="n"/>
      <c r="W824" s="26" t="n"/>
      <c r="X824" s="26" t="n"/>
      <c r="Y824" s="26" t="n"/>
      <c r="Z824" s="26" t="n"/>
    </row>
    <row r="825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26" t="n"/>
      <c r="K825" s="26" t="n"/>
      <c r="L825" s="26" t="n"/>
      <c r="M825" s="26" t="n"/>
      <c r="N825" s="26" t="n"/>
      <c r="O825" s="26" t="n"/>
      <c r="P825" s="26" t="n"/>
      <c r="Q825" s="26" t="n"/>
      <c r="R825" s="26" t="n"/>
      <c r="S825" s="26" t="n"/>
      <c r="T825" s="26" t="n"/>
      <c r="U825" s="26" t="n"/>
      <c r="V825" s="26" t="n"/>
      <c r="W825" s="26" t="n"/>
      <c r="X825" s="26" t="n"/>
      <c r="Y825" s="26" t="n"/>
      <c r="Z825" s="26" t="n"/>
    </row>
    <row r="826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26" t="n"/>
      <c r="K826" s="26" t="n"/>
      <c r="L826" s="26" t="n"/>
      <c r="M826" s="26" t="n"/>
      <c r="N826" s="26" t="n"/>
      <c r="O826" s="26" t="n"/>
      <c r="P826" s="26" t="n"/>
      <c r="Q826" s="26" t="n"/>
      <c r="R826" s="26" t="n"/>
      <c r="S826" s="26" t="n"/>
      <c r="T826" s="26" t="n"/>
      <c r="U826" s="26" t="n"/>
      <c r="V826" s="26" t="n"/>
      <c r="W826" s="26" t="n"/>
      <c r="X826" s="26" t="n"/>
      <c r="Y826" s="26" t="n"/>
      <c r="Z826" s="26" t="n"/>
    </row>
    <row r="827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26" t="n"/>
      <c r="K827" s="26" t="n"/>
      <c r="L827" s="26" t="n"/>
      <c r="M827" s="26" t="n"/>
      <c r="N827" s="26" t="n"/>
      <c r="O827" s="26" t="n"/>
      <c r="P827" s="26" t="n"/>
      <c r="Q827" s="26" t="n"/>
      <c r="R827" s="26" t="n"/>
      <c r="S827" s="26" t="n"/>
      <c r="T827" s="26" t="n"/>
      <c r="U827" s="26" t="n"/>
      <c r="V827" s="26" t="n"/>
      <c r="W827" s="26" t="n"/>
      <c r="X827" s="26" t="n"/>
      <c r="Y827" s="26" t="n"/>
      <c r="Z827" s="26" t="n"/>
    </row>
    <row r="828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26" t="n"/>
      <c r="K828" s="26" t="n"/>
      <c r="L828" s="26" t="n"/>
      <c r="M828" s="26" t="n"/>
      <c r="N828" s="26" t="n"/>
      <c r="O828" s="26" t="n"/>
      <c r="P828" s="26" t="n"/>
      <c r="Q828" s="26" t="n"/>
      <c r="R828" s="26" t="n"/>
      <c r="S828" s="26" t="n"/>
      <c r="T828" s="26" t="n"/>
      <c r="U828" s="26" t="n"/>
      <c r="V828" s="26" t="n"/>
      <c r="W828" s="26" t="n"/>
      <c r="X828" s="26" t="n"/>
      <c r="Y828" s="26" t="n"/>
      <c r="Z828" s="26" t="n"/>
    </row>
    <row r="829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26" t="n"/>
      <c r="K829" s="26" t="n"/>
      <c r="L829" s="26" t="n"/>
      <c r="M829" s="26" t="n"/>
      <c r="N829" s="26" t="n"/>
      <c r="O829" s="26" t="n"/>
      <c r="P829" s="26" t="n"/>
      <c r="Q829" s="26" t="n"/>
      <c r="R829" s="26" t="n"/>
      <c r="S829" s="26" t="n"/>
      <c r="T829" s="26" t="n"/>
      <c r="U829" s="26" t="n"/>
      <c r="V829" s="26" t="n"/>
      <c r="W829" s="26" t="n"/>
      <c r="X829" s="26" t="n"/>
      <c r="Y829" s="26" t="n"/>
      <c r="Z829" s="26" t="n"/>
    </row>
    <row r="830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26" t="n"/>
      <c r="K830" s="26" t="n"/>
      <c r="L830" s="26" t="n"/>
      <c r="M830" s="26" t="n"/>
      <c r="N830" s="26" t="n"/>
      <c r="O830" s="26" t="n"/>
      <c r="P830" s="26" t="n"/>
      <c r="Q830" s="26" t="n"/>
      <c r="R830" s="26" t="n"/>
      <c r="S830" s="26" t="n"/>
      <c r="T830" s="26" t="n"/>
      <c r="U830" s="26" t="n"/>
      <c r="V830" s="26" t="n"/>
      <c r="W830" s="26" t="n"/>
      <c r="X830" s="26" t="n"/>
      <c r="Y830" s="26" t="n"/>
      <c r="Z830" s="26" t="n"/>
    </row>
    <row r="831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26" t="n"/>
      <c r="K831" s="26" t="n"/>
      <c r="L831" s="26" t="n"/>
      <c r="M831" s="26" t="n"/>
      <c r="N831" s="26" t="n"/>
      <c r="O831" s="26" t="n"/>
      <c r="P831" s="26" t="n"/>
      <c r="Q831" s="26" t="n"/>
      <c r="R831" s="26" t="n"/>
      <c r="S831" s="26" t="n"/>
      <c r="T831" s="26" t="n"/>
      <c r="U831" s="26" t="n"/>
      <c r="V831" s="26" t="n"/>
      <c r="W831" s="26" t="n"/>
      <c r="X831" s="26" t="n"/>
      <c r="Y831" s="26" t="n"/>
      <c r="Z831" s="26" t="n"/>
    </row>
    <row r="832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26" t="n"/>
      <c r="K832" s="26" t="n"/>
      <c r="L832" s="26" t="n"/>
      <c r="M832" s="26" t="n"/>
      <c r="N832" s="26" t="n"/>
      <c r="O832" s="26" t="n"/>
      <c r="P832" s="26" t="n"/>
      <c r="Q832" s="26" t="n"/>
      <c r="R832" s="26" t="n"/>
      <c r="S832" s="26" t="n"/>
      <c r="T832" s="26" t="n"/>
      <c r="U832" s="26" t="n"/>
      <c r="V832" s="26" t="n"/>
      <c r="W832" s="26" t="n"/>
      <c r="X832" s="26" t="n"/>
      <c r="Y832" s="26" t="n"/>
      <c r="Z832" s="26" t="n"/>
    </row>
    <row r="833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26" t="n"/>
      <c r="K833" s="26" t="n"/>
      <c r="L833" s="26" t="n"/>
      <c r="M833" s="26" t="n"/>
      <c r="N833" s="26" t="n"/>
      <c r="O833" s="26" t="n"/>
      <c r="P833" s="26" t="n"/>
      <c r="Q833" s="26" t="n"/>
      <c r="R833" s="26" t="n"/>
      <c r="S833" s="26" t="n"/>
      <c r="T833" s="26" t="n"/>
      <c r="U833" s="26" t="n"/>
      <c r="V833" s="26" t="n"/>
      <c r="W833" s="26" t="n"/>
      <c r="X833" s="26" t="n"/>
      <c r="Y833" s="26" t="n"/>
      <c r="Z833" s="26" t="n"/>
    </row>
    <row r="834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26" t="n"/>
      <c r="K834" s="26" t="n"/>
      <c r="L834" s="26" t="n"/>
      <c r="M834" s="26" t="n"/>
      <c r="N834" s="26" t="n"/>
      <c r="O834" s="26" t="n"/>
      <c r="P834" s="26" t="n"/>
      <c r="Q834" s="26" t="n"/>
      <c r="R834" s="26" t="n"/>
      <c r="S834" s="26" t="n"/>
      <c r="T834" s="26" t="n"/>
      <c r="U834" s="26" t="n"/>
      <c r="V834" s="26" t="n"/>
      <c r="W834" s="26" t="n"/>
      <c r="X834" s="26" t="n"/>
      <c r="Y834" s="26" t="n"/>
      <c r="Z834" s="26" t="n"/>
    </row>
    <row r="835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26" t="n"/>
      <c r="K835" s="26" t="n"/>
      <c r="L835" s="26" t="n"/>
      <c r="M835" s="26" t="n"/>
      <c r="N835" s="26" t="n"/>
      <c r="O835" s="26" t="n"/>
      <c r="P835" s="26" t="n"/>
      <c r="Q835" s="26" t="n"/>
      <c r="R835" s="26" t="n"/>
      <c r="S835" s="26" t="n"/>
      <c r="T835" s="26" t="n"/>
      <c r="U835" s="26" t="n"/>
      <c r="V835" s="26" t="n"/>
      <c r="W835" s="26" t="n"/>
      <c r="X835" s="26" t="n"/>
      <c r="Y835" s="26" t="n"/>
      <c r="Z835" s="26" t="n"/>
    </row>
    <row r="836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26" t="n"/>
      <c r="K836" s="26" t="n"/>
      <c r="L836" s="26" t="n"/>
      <c r="M836" s="26" t="n"/>
      <c r="N836" s="26" t="n"/>
      <c r="O836" s="26" t="n"/>
      <c r="P836" s="26" t="n"/>
      <c r="Q836" s="26" t="n"/>
      <c r="R836" s="26" t="n"/>
      <c r="S836" s="26" t="n"/>
      <c r="T836" s="26" t="n"/>
      <c r="U836" s="26" t="n"/>
      <c r="V836" s="26" t="n"/>
      <c r="W836" s="26" t="n"/>
      <c r="X836" s="26" t="n"/>
      <c r="Y836" s="26" t="n"/>
      <c r="Z836" s="26" t="n"/>
    </row>
    <row r="837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26" t="n"/>
      <c r="K837" s="26" t="n"/>
      <c r="L837" s="26" t="n"/>
      <c r="M837" s="26" t="n"/>
      <c r="N837" s="26" t="n"/>
      <c r="O837" s="26" t="n"/>
      <c r="P837" s="26" t="n"/>
      <c r="Q837" s="26" t="n"/>
      <c r="R837" s="26" t="n"/>
      <c r="S837" s="26" t="n"/>
      <c r="T837" s="26" t="n"/>
      <c r="U837" s="26" t="n"/>
      <c r="V837" s="26" t="n"/>
      <c r="W837" s="26" t="n"/>
      <c r="X837" s="26" t="n"/>
      <c r="Y837" s="26" t="n"/>
      <c r="Z837" s="26" t="n"/>
    </row>
    <row r="838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26" t="n"/>
      <c r="K838" s="26" t="n"/>
      <c r="L838" s="26" t="n"/>
      <c r="M838" s="26" t="n"/>
      <c r="N838" s="26" t="n"/>
      <c r="O838" s="26" t="n"/>
      <c r="P838" s="26" t="n"/>
      <c r="Q838" s="26" t="n"/>
      <c r="R838" s="26" t="n"/>
      <c r="S838" s="26" t="n"/>
      <c r="T838" s="26" t="n"/>
      <c r="U838" s="26" t="n"/>
      <c r="V838" s="26" t="n"/>
      <c r="W838" s="26" t="n"/>
      <c r="X838" s="26" t="n"/>
      <c r="Y838" s="26" t="n"/>
      <c r="Z838" s="26" t="n"/>
    </row>
    <row r="839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26" t="n"/>
      <c r="K839" s="26" t="n"/>
      <c r="L839" s="26" t="n"/>
      <c r="M839" s="26" t="n"/>
      <c r="N839" s="26" t="n"/>
      <c r="O839" s="26" t="n"/>
      <c r="P839" s="26" t="n"/>
      <c r="Q839" s="26" t="n"/>
      <c r="R839" s="26" t="n"/>
      <c r="S839" s="26" t="n"/>
      <c r="T839" s="26" t="n"/>
      <c r="U839" s="26" t="n"/>
      <c r="V839" s="26" t="n"/>
      <c r="W839" s="26" t="n"/>
      <c r="X839" s="26" t="n"/>
      <c r="Y839" s="26" t="n"/>
      <c r="Z839" s="26" t="n"/>
    </row>
    <row r="840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26" t="n"/>
      <c r="K840" s="26" t="n"/>
      <c r="L840" s="26" t="n"/>
      <c r="M840" s="26" t="n"/>
      <c r="N840" s="26" t="n"/>
      <c r="O840" s="26" t="n"/>
      <c r="P840" s="26" t="n"/>
      <c r="Q840" s="26" t="n"/>
      <c r="R840" s="26" t="n"/>
      <c r="S840" s="26" t="n"/>
      <c r="T840" s="26" t="n"/>
      <c r="U840" s="26" t="n"/>
      <c r="V840" s="26" t="n"/>
      <c r="W840" s="26" t="n"/>
      <c r="X840" s="26" t="n"/>
      <c r="Y840" s="26" t="n"/>
      <c r="Z840" s="26" t="n"/>
    </row>
    <row r="841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26" t="n"/>
      <c r="K841" s="26" t="n"/>
      <c r="L841" s="26" t="n"/>
      <c r="M841" s="26" t="n"/>
      <c r="N841" s="26" t="n"/>
      <c r="O841" s="26" t="n"/>
      <c r="P841" s="26" t="n"/>
      <c r="Q841" s="26" t="n"/>
      <c r="R841" s="26" t="n"/>
      <c r="S841" s="26" t="n"/>
      <c r="T841" s="26" t="n"/>
      <c r="U841" s="26" t="n"/>
      <c r="V841" s="26" t="n"/>
      <c r="W841" s="26" t="n"/>
      <c r="X841" s="26" t="n"/>
      <c r="Y841" s="26" t="n"/>
      <c r="Z841" s="26" t="n"/>
    </row>
    <row r="842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26" t="n"/>
      <c r="K842" s="26" t="n"/>
      <c r="L842" s="26" t="n"/>
      <c r="M842" s="26" t="n"/>
      <c r="N842" s="26" t="n"/>
      <c r="O842" s="26" t="n"/>
      <c r="P842" s="26" t="n"/>
      <c r="Q842" s="26" t="n"/>
      <c r="R842" s="26" t="n"/>
      <c r="S842" s="26" t="n"/>
      <c r="T842" s="26" t="n"/>
      <c r="U842" s="26" t="n"/>
      <c r="V842" s="26" t="n"/>
      <c r="W842" s="26" t="n"/>
      <c r="X842" s="26" t="n"/>
      <c r="Y842" s="26" t="n"/>
      <c r="Z842" s="26" t="n"/>
    </row>
    <row r="843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26" t="n"/>
      <c r="K843" s="26" t="n"/>
      <c r="L843" s="26" t="n"/>
      <c r="M843" s="26" t="n"/>
      <c r="N843" s="26" t="n"/>
      <c r="O843" s="26" t="n"/>
      <c r="P843" s="26" t="n"/>
      <c r="Q843" s="26" t="n"/>
      <c r="R843" s="26" t="n"/>
      <c r="S843" s="26" t="n"/>
      <c r="T843" s="26" t="n"/>
      <c r="U843" s="26" t="n"/>
      <c r="V843" s="26" t="n"/>
      <c r="W843" s="26" t="n"/>
      <c r="X843" s="26" t="n"/>
      <c r="Y843" s="26" t="n"/>
      <c r="Z843" s="26" t="n"/>
    </row>
    <row r="844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26" t="n"/>
      <c r="K844" s="26" t="n"/>
      <c r="L844" s="26" t="n"/>
      <c r="M844" s="26" t="n"/>
      <c r="N844" s="26" t="n"/>
      <c r="O844" s="26" t="n"/>
      <c r="P844" s="26" t="n"/>
      <c r="Q844" s="26" t="n"/>
      <c r="R844" s="26" t="n"/>
      <c r="S844" s="26" t="n"/>
      <c r="T844" s="26" t="n"/>
      <c r="U844" s="26" t="n"/>
      <c r="V844" s="26" t="n"/>
      <c r="W844" s="26" t="n"/>
      <c r="X844" s="26" t="n"/>
      <c r="Y844" s="26" t="n"/>
      <c r="Z844" s="26" t="n"/>
    </row>
    <row r="845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26" t="n"/>
      <c r="K845" s="26" t="n"/>
      <c r="L845" s="26" t="n"/>
      <c r="M845" s="26" t="n"/>
      <c r="N845" s="26" t="n"/>
      <c r="O845" s="26" t="n"/>
      <c r="P845" s="26" t="n"/>
      <c r="Q845" s="26" t="n"/>
      <c r="R845" s="26" t="n"/>
      <c r="S845" s="26" t="n"/>
      <c r="T845" s="26" t="n"/>
      <c r="U845" s="26" t="n"/>
      <c r="V845" s="26" t="n"/>
      <c r="W845" s="26" t="n"/>
      <c r="X845" s="26" t="n"/>
      <c r="Y845" s="26" t="n"/>
      <c r="Z845" s="26" t="n"/>
    </row>
    <row r="846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26" t="n"/>
      <c r="K846" s="26" t="n"/>
      <c r="L846" s="26" t="n"/>
      <c r="M846" s="26" t="n"/>
      <c r="N846" s="26" t="n"/>
      <c r="O846" s="26" t="n"/>
      <c r="P846" s="26" t="n"/>
      <c r="Q846" s="26" t="n"/>
      <c r="R846" s="26" t="n"/>
      <c r="S846" s="26" t="n"/>
      <c r="T846" s="26" t="n"/>
      <c r="U846" s="26" t="n"/>
      <c r="V846" s="26" t="n"/>
      <c r="W846" s="26" t="n"/>
      <c r="X846" s="26" t="n"/>
      <c r="Y846" s="26" t="n"/>
      <c r="Z846" s="26" t="n"/>
    </row>
    <row r="847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26" t="n"/>
      <c r="K847" s="26" t="n"/>
      <c r="L847" s="26" t="n"/>
      <c r="M847" s="26" t="n"/>
      <c r="N847" s="26" t="n"/>
      <c r="O847" s="26" t="n"/>
      <c r="P847" s="26" t="n"/>
      <c r="Q847" s="26" t="n"/>
      <c r="R847" s="26" t="n"/>
      <c r="S847" s="26" t="n"/>
      <c r="T847" s="26" t="n"/>
      <c r="U847" s="26" t="n"/>
      <c r="V847" s="26" t="n"/>
      <c r="W847" s="26" t="n"/>
      <c r="X847" s="26" t="n"/>
      <c r="Y847" s="26" t="n"/>
      <c r="Z847" s="26" t="n"/>
    </row>
    <row r="848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26" t="n"/>
      <c r="K848" s="26" t="n"/>
      <c r="L848" s="26" t="n"/>
      <c r="M848" s="26" t="n"/>
      <c r="N848" s="26" t="n"/>
      <c r="O848" s="26" t="n"/>
      <c r="P848" s="26" t="n"/>
      <c r="Q848" s="26" t="n"/>
      <c r="R848" s="26" t="n"/>
      <c r="S848" s="26" t="n"/>
      <c r="T848" s="26" t="n"/>
      <c r="U848" s="26" t="n"/>
      <c r="V848" s="26" t="n"/>
      <c r="W848" s="26" t="n"/>
      <c r="X848" s="26" t="n"/>
      <c r="Y848" s="26" t="n"/>
      <c r="Z848" s="26" t="n"/>
    </row>
    <row r="849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26" t="n"/>
      <c r="K849" s="26" t="n"/>
      <c r="L849" s="26" t="n"/>
      <c r="M849" s="26" t="n"/>
      <c r="N849" s="26" t="n"/>
      <c r="O849" s="26" t="n"/>
      <c r="P849" s="26" t="n"/>
      <c r="Q849" s="26" t="n"/>
      <c r="R849" s="26" t="n"/>
      <c r="S849" s="26" t="n"/>
      <c r="T849" s="26" t="n"/>
      <c r="U849" s="26" t="n"/>
      <c r="V849" s="26" t="n"/>
      <c r="W849" s="26" t="n"/>
      <c r="X849" s="26" t="n"/>
      <c r="Y849" s="26" t="n"/>
      <c r="Z849" s="26" t="n"/>
    </row>
    <row r="850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26" t="n"/>
      <c r="K850" s="26" t="n"/>
      <c r="L850" s="26" t="n"/>
      <c r="M850" s="26" t="n"/>
      <c r="N850" s="26" t="n"/>
      <c r="O850" s="26" t="n"/>
      <c r="P850" s="26" t="n"/>
      <c r="Q850" s="26" t="n"/>
      <c r="R850" s="26" t="n"/>
      <c r="S850" s="26" t="n"/>
      <c r="T850" s="26" t="n"/>
      <c r="U850" s="26" t="n"/>
      <c r="V850" s="26" t="n"/>
      <c r="W850" s="26" t="n"/>
      <c r="X850" s="26" t="n"/>
      <c r="Y850" s="26" t="n"/>
      <c r="Z850" s="26" t="n"/>
    </row>
    <row r="851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26" t="n"/>
      <c r="K851" s="26" t="n"/>
      <c r="L851" s="26" t="n"/>
      <c r="M851" s="26" t="n"/>
      <c r="N851" s="26" t="n"/>
      <c r="O851" s="26" t="n"/>
      <c r="P851" s="26" t="n"/>
      <c r="Q851" s="26" t="n"/>
      <c r="R851" s="26" t="n"/>
      <c r="S851" s="26" t="n"/>
      <c r="T851" s="26" t="n"/>
      <c r="U851" s="26" t="n"/>
      <c r="V851" s="26" t="n"/>
      <c r="W851" s="26" t="n"/>
      <c r="X851" s="26" t="n"/>
      <c r="Y851" s="26" t="n"/>
      <c r="Z851" s="26" t="n"/>
    </row>
    <row r="852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26" t="n"/>
      <c r="K852" s="26" t="n"/>
      <c r="L852" s="26" t="n"/>
      <c r="M852" s="26" t="n"/>
      <c r="N852" s="26" t="n"/>
      <c r="O852" s="26" t="n"/>
      <c r="P852" s="26" t="n"/>
      <c r="Q852" s="26" t="n"/>
      <c r="R852" s="26" t="n"/>
      <c r="S852" s="26" t="n"/>
      <c r="T852" s="26" t="n"/>
      <c r="U852" s="26" t="n"/>
      <c r="V852" s="26" t="n"/>
      <c r="W852" s="26" t="n"/>
      <c r="X852" s="26" t="n"/>
      <c r="Y852" s="26" t="n"/>
      <c r="Z852" s="26" t="n"/>
    </row>
    <row r="853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26" t="n"/>
      <c r="K853" s="26" t="n"/>
      <c r="L853" s="26" t="n"/>
      <c r="M853" s="26" t="n"/>
      <c r="N853" s="26" t="n"/>
      <c r="O853" s="26" t="n"/>
      <c r="P853" s="26" t="n"/>
      <c r="Q853" s="26" t="n"/>
      <c r="R853" s="26" t="n"/>
      <c r="S853" s="26" t="n"/>
      <c r="T853" s="26" t="n"/>
      <c r="U853" s="26" t="n"/>
      <c r="V853" s="26" t="n"/>
      <c r="W853" s="26" t="n"/>
      <c r="X853" s="26" t="n"/>
      <c r="Y853" s="26" t="n"/>
      <c r="Z853" s="26" t="n"/>
    </row>
    <row r="854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26" t="n"/>
      <c r="K854" s="26" t="n"/>
      <c r="L854" s="26" t="n"/>
      <c r="M854" s="26" t="n"/>
      <c r="N854" s="26" t="n"/>
      <c r="O854" s="26" t="n"/>
      <c r="P854" s="26" t="n"/>
      <c r="Q854" s="26" t="n"/>
      <c r="R854" s="26" t="n"/>
      <c r="S854" s="26" t="n"/>
      <c r="T854" s="26" t="n"/>
      <c r="U854" s="26" t="n"/>
      <c r="V854" s="26" t="n"/>
      <c r="W854" s="26" t="n"/>
      <c r="X854" s="26" t="n"/>
      <c r="Y854" s="26" t="n"/>
      <c r="Z854" s="26" t="n"/>
    </row>
    <row r="855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26" t="n"/>
      <c r="K855" s="26" t="n"/>
      <c r="L855" s="26" t="n"/>
      <c r="M855" s="26" t="n"/>
      <c r="N855" s="26" t="n"/>
      <c r="O855" s="26" t="n"/>
      <c r="P855" s="26" t="n"/>
      <c r="Q855" s="26" t="n"/>
      <c r="R855" s="26" t="n"/>
      <c r="S855" s="26" t="n"/>
      <c r="T855" s="26" t="n"/>
      <c r="U855" s="26" t="n"/>
      <c r="V855" s="26" t="n"/>
      <c r="W855" s="26" t="n"/>
      <c r="X855" s="26" t="n"/>
      <c r="Y855" s="26" t="n"/>
      <c r="Z855" s="26" t="n"/>
    </row>
    <row r="856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26" t="n"/>
      <c r="K856" s="26" t="n"/>
      <c r="L856" s="26" t="n"/>
      <c r="M856" s="26" t="n"/>
      <c r="N856" s="26" t="n"/>
      <c r="O856" s="26" t="n"/>
      <c r="P856" s="26" t="n"/>
      <c r="Q856" s="26" t="n"/>
      <c r="R856" s="26" t="n"/>
      <c r="S856" s="26" t="n"/>
      <c r="T856" s="26" t="n"/>
      <c r="U856" s="26" t="n"/>
      <c r="V856" s="26" t="n"/>
      <c r="W856" s="26" t="n"/>
      <c r="X856" s="26" t="n"/>
      <c r="Y856" s="26" t="n"/>
      <c r="Z856" s="26" t="n"/>
    </row>
    <row r="857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26" t="n"/>
      <c r="K857" s="26" t="n"/>
      <c r="L857" s="26" t="n"/>
      <c r="M857" s="26" t="n"/>
      <c r="N857" s="26" t="n"/>
      <c r="O857" s="26" t="n"/>
      <c r="P857" s="26" t="n"/>
      <c r="Q857" s="26" t="n"/>
      <c r="R857" s="26" t="n"/>
      <c r="S857" s="26" t="n"/>
      <c r="T857" s="26" t="n"/>
      <c r="U857" s="26" t="n"/>
      <c r="V857" s="26" t="n"/>
      <c r="W857" s="26" t="n"/>
      <c r="X857" s="26" t="n"/>
      <c r="Y857" s="26" t="n"/>
      <c r="Z857" s="26" t="n"/>
    </row>
    <row r="858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26" t="n"/>
      <c r="K858" s="26" t="n"/>
      <c r="L858" s="26" t="n"/>
      <c r="M858" s="26" t="n"/>
      <c r="N858" s="26" t="n"/>
      <c r="O858" s="26" t="n"/>
      <c r="P858" s="26" t="n"/>
      <c r="Q858" s="26" t="n"/>
      <c r="R858" s="26" t="n"/>
      <c r="S858" s="26" t="n"/>
      <c r="T858" s="26" t="n"/>
      <c r="U858" s="26" t="n"/>
      <c r="V858" s="26" t="n"/>
      <c r="W858" s="26" t="n"/>
      <c r="X858" s="26" t="n"/>
      <c r="Y858" s="26" t="n"/>
      <c r="Z858" s="26" t="n"/>
    </row>
    <row r="859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26" t="n"/>
      <c r="K859" s="26" t="n"/>
      <c r="L859" s="26" t="n"/>
      <c r="M859" s="26" t="n"/>
      <c r="N859" s="26" t="n"/>
      <c r="O859" s="26" t="n"/>
      <c r="P859" s="26" t="n"/>
      <c r="Q859" s="26" t="n"/>
      <c r="R859" s="26" t="n"/>
      <c r="S859" s="26" t="n"/>
      <c r="T859" s="26" t="n"/>
      <c r="U859" s="26" t="n"/>
      <c r="V859" s="26" t="n"/>
      <c r="W859" s="26" t="n"/>
      <c r="X859" s="26" t="n"/>
      <c r="Y859" s="26" t="n"/>
      <c r="Z859" s="26" t="n"/>
    </row>
    <row r="860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26" t="n"/>
      <c r="K860" s="26" t="n"/>
      <c r="L860" s="26" t="n"/>
      <c r="M860" s="26" t="n"/>
      <c r="N860" s="26" t="n"/>
      <c r="O860" s="26" t="n"/>
      <c r="P860" s="26" t="n"/>
      <c r="Q860" s="26" t="n"/>
      <c r="R860" s="26" t="n"/>
      <c r="S860" s="26" t="n"/>
      <c r="T860" s="26" t="n"/>
      <c r="U860" s="26" t="n"/>
      <c r="V860" s="26" t="n"/>
      <c r="W860" s="26" t="n"/>
      <c r="X860" s="26" t="n"/>
      <c r="Y860" s="26" t="n"/>
      <c r="Z860" s="26" t="n"/>
    </row>
    <row r="861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26" t="n"/>
      <c r="K861" s="26" t="n"/>
      <c r="L861" s="26" t="n"/>
      <c r="M861" s="26" t="n"/>
      <c r="N861" s="26" t="n"/>
      <c r="O861" s="26" t="n"/>
      <c r="P861" s="26" t="n"/>
      <c r="Q861" s="26" t="n"/>
      <c r="R861" s="26" t="n"/>
      <c r="S861" s="26" t="n"/>
      <c r="T861" s="26" t="n"/>
      <c r="U861" s="26" t="n"/>
      <c r="V861" s="26" t="n"/>
      <c r="W861" s="26" t="n"/>
      <c r="X861" s="26" t="n"/>
      <c r="Y861" s="26" t="n"/>
      <c r="Z861" s="26" t="n"/>
    </row>
    <row r="862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26" t="n"/>
      <c r="K862" s="26" t="n"/>
      <c r="L862" s="26" t="n"/>
      <c r="M862" s="26" t="n"/>
      <c r="N862" s="26" t="n"/>
      <c r="O862" s="26" t="n"/>
      <c r="P862" s="26" t="n"/>
      <c r="Q862" s="26" t="n"/>
      <c r="R862" s="26" t="n"/>
      <c r="S862" s="26" t="n"/>
      <c r="T862" s="26" t="n"/>
      <c r="U862" s="26" t="n"/>
      <c r="V862" s="26" t="n"/>
      <c r="W862" s="26" t="n"/>
      <c r="X862" s="26" t="n"/>
      <c r="Y862" s="26" t="n"/>
      <c r="Z862" s="26" t="n"/>
    </row>
    <row r="863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26" t="n"/>
      <c r="K863" s="26" t="n"/>
      <c r="L863" s="26" t="n"/>
      <c r="M863" s="26" t="n"/>
      <c r="N863" s="26" t="n"/>
      <c r="O863" s="26" t="n"/>
      <c r="P863" s="26" t="n"/>
      <c r="Q863" s="26" t="n"/>
      <c r="R863" s="26" t="n"/>
      <c r="S863" s="26" t="n"/>
      <c r="T863" s="26" t="n"/>
      <c r="U863" s="26" t="n"/>
      <c r="V863" s="26" t="n"/>
      <c r="W863" s="26" t="n"/>
      <c r="X863" s="26" t="n"/>
      <c r="Y863" s="26" t="n"/>
      <c r="Z863" s="26" t="n"/>
    </row>
    <row r="864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26" t="n"/>
      <c r="K864" s="26" t="n"/>
      <c r="L864" s="26" t="n"/>
      <c r="M864" s="26" t="n"/>
      <c r="N864" s="26" t="n"/>
      <c r="O864" s="26" t="n"/>
      <c r="P864" s="26" t="n"/>
      <c r="Q864" s="26" t="n"/>
      <c r="R864" s="26" t="n"/>
      <c r="S864" s="26" t="n"/>
      <c r="T864" s="26" t="n"/>
      <c r="U864" s="26" t="n"/>
      <c r="V864" s="26" t="n"/>
      <c r="W864" s="26" t="n"/>
      <c r="X864" s="26" t="n"/>
      <c r="Y864" s="26" t="n"/>
      <c r="Z864" s="26" t="n"/>
    </row>
    <row r="865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26" t="n"/>
      <c r="K865" s="26" t="n"/>
      <c r="L865" s="26" t="n"/>
      <c r="M865" s="26" t="n"/>
      <c r="N865" s="26" t="n"/>
      <c r="O865" s="26" t="n"/>
      <c r="P865" s="26" t="n"/>
      <c r="Q865" s="26" t="n"/>
      <c r="R865" s="26" t="n"/>
      <c r="S865" s="26" t="n"/>
      <c r="T865" s="26" t="n"/>
      <c r="U865" s="26" t="n"/>
      <c r="V865" s="26" t="n"/>
      <c r="W865" s="26" t="n"/>
      <c r="X865" s="26" t="n"/>
      <c r="Y865" s="26" t="n"/>
      <c r="Z865" s="26" t="n"/>
    </row>
    <row r="866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26" t="n"/>
      <c r="K866" s="26" t="n"/>
      <c r="L866" s="26" t="n"/>
      <c r="M866" s="26" t="n"/>
      <c r="N866" s="26" t="n"/>
      <c r="O866" s="26" t="n"/>
      <c r="P866" s="26" t="n"/>
      <c r="Q866" s="26" t="n"/>
      <c r="R866" s="26" t="n"/>
      <c r="S866" s="26" t="n"/>
      <c r="T866" s="26" t="n"/>
      <c r="U866" s="26" t="n"/>
      <c r="V866" s="26" t="n"/>
      <c r="W866" s="26" t="n"/>
      <c r="X866" s="26" t="n"/>
      <c r="Y866" s="26" t="n"/>
      <c r="Z866" s="26" t="n"/>
    </row>
    <row r="867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26" t="n"/>
      <c r="K867" s="26" t="n"/>
      <c r="L867" s="26" t="n"/>
      <c r="M867" s="26" t="n"/>
      <c r="N867" s="26" t="n"/>
      <c r="O867" s="26" t="n"/>
      <c r="P867" s="26" t="n"/>
      <c r="Q867" s="26" t="n"/>
      <c r="R867" s="26" t="n"/>
      <c r="S867" s="26" t="n"/>
      <c r="T867" s="26" t="n"/>
      <c r="U867" s="26" t="n"/>
      <c r="V867" s="26" t="n"/>
      <c r="W867" s="26" t="n"/>
      <c r="X867" s="26" t="n"/>
      <c r="Y867" s="26" t="n"/>
      <c r="Z867" s="26" t="n"/>
    </row>
    <row r="868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26" t="n"/>
      <c r="K868" s="26" t="n"/>
      <c r="L868" s="26" t="n"/>
      <c r="M868" s="26" t="n"/>
      <c r="N868" s="26" t="n"/>
      <c r="O868" s="26" t="n"/>
      <c r="P868" s="26" t="n"/>
      <c r="Q868" s="26" t="n"/>
      <c r="R868" s="26" t="n"/>
      <c r="S868" s="26" t="n"/>
      <c r="T868" s="26" t="n"/>
      <c r="U868" s="26" t="n"/>
      <c r="V868" s="26" t="n"/>
      <c r="W868" s="26" t="n"/>
      <c r="X868" s="26" t="n"/>
      <c r="Y868" s="26" t="n"/>
      <c r="Z868" s="26" t="n"/>
    </row>
    <row r="869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26" t="n"/>
      <c r="K869" s="26" t="n"/>
      <c r="L869" s="26" t="n"/>
      <c r="M869" s="26" t="n"/>
      <c r="N869" s="26" t="n"/>
      <c r="O869" s="26" t="n"/>
      <c r="P869" s="26" t="n"/>
      <c r="Q869" s="26" t="n"/>
      <c r="R869" s="26" t="n"/>
      <c r="S869" s="26" t="n"/>
      <c r="T869" s="26" t="n"/>
      <c r="U869" s="26" t="n"/>
      <c r="V869" s="26" t="n"/>
      <c r="W869" s="26" t="n"/>
      <c r="X869" s="26" t="n"/>
      <c r="Y869" s="26" t="n"/>
      <c r="Z869" s="26" t="n"/>
    </row>
    <row r="870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26" t="n"/>
      <c r="K870" s="26" t="n"/>
      <c r="L870" s="26" t="n"/>
      <c r="M870" s="26" t="n"/>
      <c r="N870" s="26" t="n"/>
      <c r="O870" s="26" t="n"/>
      <c r="P870" s="26" t="n"/>
      <c r="Q870" s="26" t="n"/>
      <c r="R870" s="26" t="n"/>
      <c r="S870" s="26" t="n"/>
      <c r="T870" s="26" t="n"/>
      <c r="U870" s="26" t="n"/>
      <c r="V870" s="26" t="n"/>
      <c r="W870" s="26" t="n"/>
      <c r="X870" s="26" t="n"/>
      <c r="Y870" s="26" t="n"/>
      <c r="Z870" s="26" t="n"/>
    </row>
    <row r="871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26" t="n"/>
      <c r="K871" s="26" t="n"/>
      <c r="L871" s="26" t="n"/>
      <c r="M871" s="26" t="n"/>
      <c r="N871" s="26" t="n"/>
      <c r="O871" s="26" t="n"/>
      <c r="P871" s="26" t="n"/>
      <c r="Q871" s="26" t="n"/>
      <c r="R871" s="26" t="n"/>
      <c r="S871" s="26" t="n"/>
      <c r="T871" s="26" t="n"/>
      <c r="U871" s="26" t="n"/>
      <c r="V871" s="26" t="n"/>
      <c r="W871" s="26" t="n"/>
      <c r="X871" s="26" t="n"/>
      <c r="Y871" s="26" t="n"/>
      <c r="Z871" s="26" t="n"/>
    </row>
    <row r="872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n"/>
      <c r="R872" s="26" t="n"/>
      <c r="S872" s="26" t="n"/>
      <c r="T872" s="26" t="n"/>
      <c r="U872" s="26" t="n"/>
      <c r="V872" s="26" t="n"/>
      <c r="W872" s="26" t="n"/>
      <c r="X872" s="26" t="n"/>
      <c r="Y872" s="26" t="n"/>
      <c r="Z872" s="26" t="n"/>
    </row>
    <row r="873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n"/>
      <c r="R873" s="26" t="n"/>
      <c r="S873" s="26" t="n"/>
      <c r="T873" s="26" t="n"/>
      <c r="U873" s="26" t="n"/>
      <c r="V873" s="26" t="n"/>
      <c r="W873" s="26" t="n"/>
      <c r="X873" s="26" t="n"/>
      <c r="Y873" s="26" t="n"/>
      <c r="Z873" s="26" t="n"/>
    </row>
    <row r="874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n"/>
      <c r="R874" s="26" t="n"/>
      <c r="S874" s="26" t="n"/>
      <c r="T874" s="26" t="n"/>
      <c r="U874" s="26" t="n"/>
      <c r="V874" s="26" t="n"/>
      <c r="W874" s="26" t="n"/>
      <c r="X874" s="26" t="n"/>
      <c r="Y874" s="26" t="n"/>
      <c r="Z874" s="26" t="n"/>
    </row>
    <row r="875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n"/>
      <c r="R875" s="26" t="n"/>
      <c r="S875" s="26" t="n"/>
      <c r="T875" s="26" t="n"/>
      <c r="U875" s="26" t="n"/>
      <c r="V875" s="26" t="n"/>
      <c r="W875" s="26" t="n"/>
      <c r="X875" s="26" t="n"/>
      <c r="Y875" s="26" t="n"/>
      <c r="Z875" s="26" t="n"/>
    </row>
    <row r="876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n"/>
      <c r="R876" s="26" t="n"/>
      <c r="S876" s="26" t="n"/>
      <c r="T876" s="26" t="n"/>
      <c r="U876" s="26" t="n"/>
      <c r="V876" s="26" t="n"/>
      <c r="W876" s="26" t="n"/>
      <c r="X876" s="26" t="n"/>
      <c r="Y876" s="26" t="n"/>
      <c r="Z876" s="26" t="n"/>
    </row>
    <row r="877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n"/>
      <c r="R877" s="26" t="n"/>
      <c r="S877" s="26" t="n"/>
      <c r="T877" s="26" t="n"/>
      <c r="U877" s="26" t="n"/>
      <c r="V877" s="26" t="n"/>
      <c r="W877" s="26" t="n"/>
      <c r="X877" s="26" t="n"/>
      <c r="Y877" s="26" t="n"/>
      <c r="Z877" s="26" t="n"/>
    </row>
    <row r="878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n"/>
      <c r="R878" s="26" t="n"/>
      <c r="S878" s="26" t="n"/>
      <c r="T878" s="26" t="n"/>
      <c r="U878" s="26" t="n"/>
      <c r="V878" s="26" t="n"/>
      <c r="W878" s="26" t="n"/>
      <c r="X878" s="26" t="n"/>
      <c r="Y878" s="26" t="n"/>
      <c r="Z878" s="26" t="n"/>
    </row>
    <row r="879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n"/>
      <c r="R879" s="26" t="n"/>
      <c r="S879" s="26" t="n"/>
      <c r="T879" s="26" t="n"/>
      <c r="U879" s="26" t="n"/>
      <c r="V879" s="26" t="n"/>
      <c r="W879" s="26" t="n"/>
      <c r="X879" s="26" t="n"/>
      <c r="Y879" s="26" t="n"/>
      <c r="Z879" s="26" t="n"/>
    </row>
    <row r="880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n"/>
      <c r="R880" s="26" t="n"/>
      <c r="S880" s="26" t="n"/>
      <c r="T880" s="26" t="n"/>
      <c r="U880" s="26" t="n"/>
      <c r="V880" s="26" t="n"/>
      <c r="W880" s="26" t="n"/>
      <c r="X880" s="26" t="n"/>
      <c r="Y880" s="26" t="n"/>
      <c r="Z880" s="26" t="n"/>
    </row>
    <row r="881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n"/>
      <c r="R881" s="26" t="n"/>
      <c r="S881" s="26" t="n"/>
      <c r="T881" s="26" t="n"/>
      <c r="U881" s="26" t="n"/>
      <c r="V881" s="26" t="n"/>
      <c r="W881" s="26" t="n"/>
      <c r="X881" s="26" t="n"/>
      <c r="Y881" s="26" t="n"/>
      <c r="Z881" s="26" t="n"/>
    </row>
    <row r="882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26" t="n"/>
      <c r="K882" s="26" t="n"/>
      <c r="L882" s="26" t="n"/>
      <c r="M882" s="26" t="n"/>
      <c r="N882" s="26" t="n"/>
      <c r="O882" s="26" t="n"/>
      <c r="P882" s="26" t="n"/>
      <c r="Q882" s="26" t="n"/>
      <c r="R882" s="26" t="n"/>
      <c r="S882" s="26" t="n"/>
      <c r="T882" s="26" t="n"/>
      <c r="U882" s="26" t="n"/>
      <c r="V882" s="26" t="n"/>
      <c r="W882" s="26" t="n"/>
      <c r="X882" s="26" t="n"/>
      <c r="Y882" s="26" t="n"/>
      <c r="Z882" s="26" t="n"/>
    </row>
    <row r="883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26" t="n"/>
      <c r="K883" s="26" t="n"/>
      <c r="L883" s="26" t="n"/>
      <c r="M883" s="26" t="n"/>
      <c r="N883" s="26" t="n"/>
      <c r="O883" s="26" t="n"/>
      <c r="P883" s="26" t="n"/>
      <c r="Q883" s="26" t="n"/>
      <c r="R883" s="26" t="n"/>
      <c r="S883" s="26" t="n"/>
      <c r="T883" s="26" t="n"/>
      <c r="U883" s="26" t="n"/>
      <c r="V883" s="26" t="n"/>
      <c r="W883" s="26" t="n"/>
      <c r="X883" s="26" t="n"/>
      <c r="Y883" s="26" t="n"/>
      <c r="Z883" s="26" t="n"/>
    </row>
    <row r="884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26" t="n"/>
      <c r="K884" s="26" t="n"/>
      <c r="L884" s="26" t="n"/>
      <c r="M884" s="26" t="n"/>
      <c r="N884" s="26" t="n"/>
      <c r="O884" s="26" t="n"/>
      <c r="P884" s="26" t="n"/>
      <c r="Q884" s="26" t="n"/>
      <c r="R884" s="26" t="n"/>
      <c r="S884" s="26" t="n"/>
      <c r="T884" s="26" t="n"/>
      <c r="U884" s="26" t="n"/>
      <c r="V884" s="26" t="n"/>
      <c r="W884" s="26" t="n"/>
      <c r="X884" s="26" t="n"/>
      <c r="Y884" s="26" t="n"/>
      <c r="Z884" s="26" t="n"/>
    </row>
    <row r="885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26" t="n"/>
      <c r="K885" s="26" t="n"/>
      <c r="L885" s="26" t="n"/>
      <c r="M885" s="26" t="n"/>
      <c r="N885" s="26" t="n"/>
      <c r="O885" s="26" t="n"/>
      <c r="P885" s="26" t="n"/>
      <c r="Q885" s="26" t="n"/>
      <c r="R885" s="26" t="n"/>
      <c r="S885" s="26" t="n"/>
      <c r="T885" s="26" t="n"/>
      <c r="U885" s="26" t="n"/>
      <c r="V885" s="26" t="n"/>
      <c r="W885" s="26" t="n"/>
      <c r="X885" s="26" t="n"/>
      <c r="Y885" s="26" t="n"/>
      <c r="Z885" s="26" t="n"/>
    </row>
    <row r="886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26" t="n"/>
      <c r="K886" s="26" t="n"/>
      <c r="L886" s="26" t="n"/>
      <c r="M886" s="26" t="n"/>
      <c r="N886" s="26" t="n"/>
      <c r="O886" s="26" t="n"/>
      <c r="P886" s="26" t="n"/>
      <c r="Q886" s="26" t="n"/>
      <c r="R886" s="26" t="n"/>
      <c r="S886" s="26" t="n"/>
      <c r="T886" s="26" t="n"/>
      <c r="U886" s="26" t="n"/>
      <c r="V886" s="26" t="n"/>
      <c r="W886" s="26" t="n"/>
      <c r="X886" s="26" t="n"/>
      <c r="Y886" s="26" t="n"/>
      <c r="Z886" s="26" t="n"/>
    </row>
    <row r="887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26" t="n"/>
      <c r="K887" s="26" t="n"/>
      <c r="L887" s="26" t="n"/>
      <c r="M887" s="26" t="n"/>
      <c r="N887" s="26" t="n"/>
      <c r="O887" s="26" t="n"/>
      <c r="P887" s="26" t="n"/>
      <c r="Q887" s="26" t="n"/>
      <c r="R887" s="26" t="n"/>
      <c r="S887" s="26" t="n"/>
      <c r="T887" s="26" t="n"/>
      <c r="U887" s="26" t="n"/>
      <c r="V887" s="26" t="n"/>
      <c r="W887" s="26" t="n"/>
      <c r="X887" s="26" t="n"/>
      <c r="Y887" s="26" t="n"/>
      <c r="Z887" s="26" t="n"/>
    </row>
    <row r="888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26" t="n"/>
      <c r="K888" s="26" t="n"/>
      <c r="L888" s="26" t="n"/>
      <c r="M888" s="26" t="n"/>
      <c r="N888" s="26" t="n"/>
      <c r="O888" s="26" t="n"/>
      <c r="P888" s="26" t="n"/>
      <c r="Q888" s="26" t="n"/>
      <c r="R888" s="26" t="n"/>
      <c r="S888" s="26" t="n"/>
      <c r="T888" s="26" t="n"/>
      <c r="U888" s="26" t="n"/>
      <c r="V888" s="26" t="n"/>
      <c r="W888" s="26" t="n"/>
      <c r="X888" s="26" t="n"/>
      <c r="Y888" s="26" t="n"/>
      <c r="Z888" s="26" t="n"/>
    </row>
    <row r="889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26" t="n"/>
      <c r="K889" s="26" t="n"/>
      <c r="L889" s="26" t="n"/>
      <c r="M889" s="26" t="n"/>
      <c r="N889" s="26" t="n"/>
      <c r="O889" s="26" t="n"/>
      <c r="P889" s="26" t="n"/>
      <c r="Q889" s="26" t="n"/>
      <c r="R889" s="26" t="n"/>
      <c r="S889" s="26" t="n"/>
      <c r="T889" s="26" t="n"/>
      <c r="U889" s="26" t="n"/>
      <c r="V889" s="26" t="n"/>
      <c r="W889" s="26" t="n"/>
      <c r="X889" s="26" t="n"/>
      <c r="Y889" s="26" t="n"/>
      <c r="Z889" s="26" t="n"/>
    </row>
    <row r="890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26" t="n"/>
      <c r="K890" s="26" t="n"/>
      <c r="L890" s="26" t="n"/>
      <c r="M890" s="26" t="n"/>
      <c r="N890" s="26" t="n"/>
      <c r="O890" s="26" t="n"/>
      <c r="P890" s="26" t="n"/>
      <c r="Q890" s="26" t="n"/>
      <c r="R890" s="26" t="n"/>
      <c r="S890" s="26" t="n"/>
      <c r="T890" s="26" t="n"/>
      <c r="U890" s="26" t="n"/>
      <c r="V890" s="26" t="n"/>
      <c r="W890" s="26" t="n"/>
      <c r="X890" s="26" t="n"/>
      <c r="Y890" s="26" t="n"/>
      <c r="Z890" s="26" t="n"/>
    </row>
    <row r="891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26" t="n"/>
      <c r="K891" s="26" t="n"/>
      <c r="L891" s="26" t="n"/>
      <c r="M891" s="26" t="n"/>
      <c r="N891" s="26" t="n"/>
      <c r="O891" s="26" t="n"/>
      <c r="P891" s="26" t="n"/>
      <c r="Q891" s="26" t="n"/>
      <c r="R891" s="26" t="n"/>
      <c r="S891" s="26" t="n"/>
      <c r="T891" s="26" t="n"/>
      <c r="U891" s="26" t="n"/>
      <c r="V891" s="26" t="n"/>
      <c r="W891" s="26" t="n"/>
      <c r="X891" s="26" t="n"/>
      <c r="Y891" s="26" t="n"/>
      <c r="Z891" s="26" t="n"/>
    </row>
    <row r="892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26" t="n"/>
      <c r="K892" s="26" t="n"/>
      <c r="L892" s="26" t="n"/>
      <c r="M892" s="26" t="n"/>
      <c r="N892" s="26" t="n"/>
      <c r="O892" s="26" t="n"/>
      <c r="P892" s="26" t="n"/>
      <c r="Q892" s="26" t="n"/>
      <c r="R892" s="26" t="n"/>
      <c r="S892" s="26" t="n"/>
      <c r="T892" s="26" t="n"/>
      <c r="U892" s="26" t="n"/>
      <c r="V892" s="26" t="n"/>
      <c r="W892" s="26" t="n"/>
      <c r="X892" s="26" t="n"/>
      <c r="Y892" s="26" t="n"/>
      <c r="Z892" s="26" t="n"/>
    </row>
    <row r="893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26" t="n"/>
      <c r="K893" s="26" t="n"/>
      <c r="L893" s="26" t="n"/>
      <c r="M893" s="26" t="n"/>
      <c r="N893" s="26" t="n"/>
      <c r="O893" s="26" t="n"/>
      <c r="P893" s="26" t="n"/>
      <c r="Q893" s="26" t="n"/>
      <c r="R893" s="26" t="n"/>
      <c r="S893" s="26" t="n"/>
      <c r="T893" s="26" t="n"/>
      <c r="U893" s="26" t="n"/>
      <c r="V893" s="26" t="n"/>
      <c r="W893" s="26" t="n"/>
      <c r="X893" s="26" t="n"/>
      <c r="Y893" s="26" t="n"/>
      <c r="Z893" s="26" t="n"/>
    </row>
    <row r="894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26" t="n"/>
      <c r="K894" s="26" t="n"/>
      <c r="L894" s="26" t="n"/>
      <c r="M894" s="26" t="n"/>
      <c r="N894" s="26" t="n"/>
      <c r="O894" s="26" t="n"/>
      <c r="P894" s="26" t="n"/>
      <c r="Q894" s="26" t="n"/>
      <c r="R894" s="26" t="n"/>
      <c r="S894" s="26" t="n"/>
      <c r="T894" s="26" t="n"/>
      <c r="U894" s="26" t="n"/>
      <c r="V894" s="26" t="n"/>
      <c r="W894" s="26" t="n"/>
      <c r="X894" s="26" t="n"/>
      <c r="Y894" s="26" t="n"/>
      <c r="Z894" s="26" t="n"/>
    </row>
    <row r="895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26" t="n"/>
      <c r="K895" s="26" t="n"/>
      <c r="L895" s="26" t="n"/>
      <c r="M895" s="26" t="n"/>
      <c r="N895" s="26" t="n"/>
      <c r="O895" s="26" t="n"/>
      <c r="P895" s="26" t="n"/>
      <c r="Q895" s="26" t="n"/>
      <c r="R895" s="26" t="n"/>
      <c r="S895" s="26" t="n"/>
      <c r="T895" s="26" t="n"/>
      <c r="U895" s="26" t="n"/>
      <c r="V895" s="26" t="n"/>
      <c r="W895" s="26" t="n"/>
      <c r="X895" s="26" t="n"/>
      <c r="Y895" s="26" t="n"/>
      <c r="Z895" s="26" t="n"/>
    </row>
    <row r="896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26" t="n"/>
      <c r="K896" s="26" t="n"/>
      <c r="L896" s="26" t="n"/>
      <c r="M896" s="26" t="n"/>
      <c r="N896" s="26" t="n"/>
      <c r="O896" s="26" t="n"/>
      <c r="P896" s="26" t="n"/>
      <c r="Q896" s="26" t="n"/>
      <c r="R896" s="26" t="n"/>
      <c r="S896" s="26" t="n"/>
      <c r="T896" s="26" t="n"/>
      <c r="U896" s="26" t="n"/>
      <c r="V896" s="26" t="n"/>
      <c r="W896" s="26" t="n"/>
      <c r="X896" s="26" t="n"/>
      <c r="Y896" s="26" t="n"/>
      <c r="Z896" s="26" t="n"/>
    </row>
    <row r="897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26" t="n"/>
      <c r="K897" s="26" t="n"/>
      <c r="L897" s="26" t="n"/>
      <c r="M897" s="26" t="n"/>
      <c r="N897" s="26" t="n"/>
      <c r="O897" s="26" t="n"/>
      <c r="P897" s="26" t="n"/>
      <c r="Q897" s="26" t="n"/>
      <c r="R897" s="26" t="n"/>
      <c r="S897" s="26" t="n"/>
      <c r="T897" s="26" t="n"/>
      <c r="U897" s="26" t="n"/>
      <c r="V897" s="26" t="n"/>
      <c r="W897" s="26" t="n"/>
      <c r="X897" s="26" t="n"/>
      <c r="Y897" s="26" t="n"/>
      <c r="Z897" s="26" t="n"/>
    </row>
    <row r="898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  <c r="P898" s="26" t="n"/>
      <c r="Q898" s="26" t="n"/>
      <c r="R898" s="26" t="n"/>
      <c r="S898" s="26" t="n"/>
      <c r="T898" s="26" t="n"/>
      <c r="U898" s="26" t="n"/>
      <c r="V898" s="26" t="n"/>
      <c r="W898" s="26" t="n"/>
      <c r="X898" s="26" t="n"/>
      <c r="Y898" s="26" t="n"/>
      <c r="Z898" s="26" t="n"/>
    </row>
    <row r="899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26" t="n"/>
      <c r="K899" s="26" t="n"/>
      <c r="L899" s="26" t="n"/>
      <c r="M899" s="26" t="n"/>
      <c r="N899" s="26" t="n"/>
      <c r="O899" s="26" t="n"/>
      <c r="P899" s="26" t="n"/>
      <c r="Q899" s="26" t="n"/>
      <c r="R899" s="26" t="n"/>
      <c r="S899" s="26" t="n"/>
      <c r="T899" s="26" t="n"/>
      <c r="U899" s="26" t="n"/>
      <c r="V899" s="26" t="n"/>
      <c r="W899" s="26" t="n"/>
      <c r="X899" s="26" t="n"/>
      <c r="Y899" s="26" t="n"/>
      <c r="Z899" s="26" t="n"/>
    </row>
    <row r="900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  <c r="P900" s="26" t="n"/>
      <c r="Q900" s="26" t="n"/>
      <c r="R900" s="26" t="n"/>
      <c r="S900" s="26" t="n"/>
      <c r="T900" s="26" t="n"/>
      <c r="U900" s="26" t="n"/>
      <c r="V900" s="26" t="n"/>
      <c r="W900" s="26" t="n"/>
      <c r="X900" s="26" t="n"/>
      <c r="Y900" s="26" t="n"/>
      <c r="Z900" s="26" t="n"/>
    </row>
    <row r="901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26" t="n"/>
      <c r="K901" s="26" t="n"/>
      <c r="L901" s="26" t="n"/>
      <c r="M901" s="26" t="n"/>
      <c r="N901" s="26" t="n"/>
      <c r="O901" s="26" t="n"/>
      <c r="P901" s="26" t="n"/>
      <c r="Q901" s="26" t="n"/>
      <c r="R901" s="26" t="n"/>
      <c r="S901" s="26" t="n"/>
      <c r="T901" s="26" t="n"/>
      <c r="U901" s="26" t="n"/>
      <c r="V901" s="26" t="n"/>
      <c r="W901" s="26" t="n"/>
      <c r="X901" s="26" t="n"/>
      <c r="Y901" s="26" t="n"/>
      <c r="Z901" s="26" t="n"/>
    </row>
    <row r="902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  <c r="P902" s="26" t="n"/>
      <c r="Q902" s="26" t="n"/>
      <c r="R902" s="26" t="n"/>
      <c r="S902" s="26" t="n"/>
      <c r="T902" s="26" t="n"/>
      <c r="U902" s="26" t="n"/>
      <c r="V902" s="26" t="n"/>
      <c r="W902" s="26" t="n"/>
      <c r="X902" s="26" t="n"/>
      <c r="Y902" s="26" t="n"/>
      <c r="Z902" s="26" t="n"/>
    </row>
    <row r="903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26" t="n"/>
      <c r="K903" s="26" t="n"/>
      <c r="L903" s="26" t="n"/>
      <c r="M903" s="26" t="n"/>
      <c r="N903" s="26" t="n"/>
      <c r="O903" s="26" t="n"/>
      <c r="P903" s="26" t="n"/>
      <c r="Q903" s="26" t="n"/>
      <c r="R903" s="26" t="n"/>
      <c r="S903" s="26" t="n"/>
      <c r="T903" s="26" t="n"/>
      <c r="U903" s="26" t="n"/>
      <c r="V903" s="26" t="n"/>
      <c r="W903" s="26" t="n"/>
      <c r="X903" s="26" t="n"/>
      <c r="Y903" s="26" t="n"/>
      <c r="Z903" s="26" t="n"/>
    </row>
    <row r="904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  <c r="P904" s="26" t="n"/>
      <c r="Q904" s="26" t="n"/>
      <c r="R904" s="26" t="n"/>
      <c r="S904" s="26" t="n"/>
      <c r="T904" s="26" t="n"/>
      <c r="U904" s="26" t="n"/>
      <c r="V904" s="26" t="n"/>
      <c r="W904" s="26" t="n"/>
      <c r="X904" s="26" t="n"/>
      <c r="Y904" s="26" t="n"/>
      <c r="Z904" s="26" t="n"/>
    </row>
    <row r="905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26" t="n"/>
      <c r="K905" s="26" t="n"/>
      <c r="L905" s="26" t="n"/>
      <c r="M905" s="26" t="n"/>
      <c r="N905" s="26" t="n"/>
      <c r="O905" s="26" t="n"/>
      <c r="P905" s="26" t="n"/>
      <c r="Q905" s="26" t="n"/>
      <c r="R905" s="26" t="n"/>
      <c r="S905" s="26" t="n"/>
      <c r="T905" s="26" t="n"/>
      <c r="U905" s="26" t="n"/>
      <c r="V905" s="26" t="n"/>
      <c r="W905" s="26" t="n"/>
      <c r="X905" s="26" t="n"/>
      <c r="Y905" s="26" t="n"/>
      <c r="Z905" s="26" t="n"/>
    </row>
    <row r="906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26" t="n"/>
      <c r="K906" s="26" t="n"/>
      <c r="L906" s="26" t="n"/>
      <c r="M906" s="26" t="n"/>
      <c r="N906" s="26" t="n"/>
      <c r="O906" s="26" t="n"/>
      <c r="P906" s="26" t="n"/>
      <c r="Q906" s="26" t="n"/>
      <c r="R906" s="26" t="n"/>
      <c r="S906" s="26" t="n"/>
      <c r="T906" s="26" t="n"/>
      <c r="U906" s="26" t="n"/>
      <c r="V906" s="26" t="n"/>
      <c r="W906" s="26" t="n"/>
      <c r="X906" s="26" t="n"/>
      <c r="Y906" s="26" t="n"/>
      <c r="Z906" s="26" t="n"/>
    </row>
    <row r="907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26" t="n"/>
      <c r="K907" s="26" t="n"/>
      <c r="L907" s="26" t="n"/>
      <c r="M907" s="26" t="n"/>
      <c r="N907" s="26" t="n"/>
      <c r="O907" s="26" t="n"/>
      <c r="P907" s="26" t="n"/>
      <c r="Q907" s="26" t="n"/>
      <c r="R907" s="26" t="n"/>
      <c r="S907" s="26" t="n"/>
      <c r="T907" s="26" t="n"/>
      <c r="U907" s="26" t="n"/>
      <c r="V907" s="26" t="n"/>
      <c r="W907" s="26" t="n"/>
      <c r="X907" s="26" t="n"/>
      <c r="Y907" s="26" t="n"/>
      <c r="Z907" s="26" t="n"/>
    </row>
    <row r="908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26" t="n"/>
      <c r="K908" s="26" t="n"/>
      <c r="L908" s="26" t="n"/>
      <c r="M908" s="26" t="n"/>
      <c r="N908" s="26" t="n"/>
      <c r="O908" s="26" t="n"/>
      <c r="P908" s="26" t="n"/>
      <c r="Q908" s="26" t="n"/>
      <c r="R908" s="26" t="n"/>
      <c r="S908" s="26" t="n"/>
      <c r="T908" s="26" t="n"/>
      <c r="U908" s="26" t="n"/>
      <c r="V908" s="26" t="n"/>
      <c r="W908" s="26" t="n"/>
      <c r="X908" s="26" t="n"/>
      <c r="Y908" s="26" t="n"/>
      <c r="Z908" s="26" t="n"/>
    </row>
    <row r="909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26" t="n"/>
      <c r="K909" s="26" t="n"/>
      <c r="L909" s="26" t="n"/>
      <c r="M909" s="26" t="n"/>
      <c r="N909" s="26" t="n"/>
      <c r="O909" s="26" t="n"/>
      <c r="P909" s="26" t="n"/>
      <c r="Q909" s="26" t="n"/>
      <c r="R909" s="26" t="n"/>
      <c r="S909" s="26" t="n"/>
      <c r="T909" s="26" t="n"/>
      <c r="U909" s="26" t="n"/>
      <c r="V909" s="26" t="n"/>
      <c r="W909" s="26" t="n"/>
      <c r="X909" s="26" t="n"/>
      <c r="Y909" s="26" t="n"/>
      <c r="Z909" s="26" t="n"/>
    </row>
    <row r="910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26" t="n"/>
      <c r="K910" s="26" t="n"/>
      <c r="L910" s="26" t="n"/>
      <c r="M910" s="26" t="n"/>
      <c r="N910" s="26" t="n"/>
      <c r="O910" s="26" t="n"/>
      <c r="P910" s="26" t="n"/>
      <c r="Q910" s="26" t="n"/>
      <c r="R910" s="26" t="n"/>
      <c r="S910" s="26" t="n"/>
      <c r="T910" s="26" t="n"/>
      <c r="U910" s="26" t="n"/>
      <c r="V910" s="26" t="n"/>
      <c r="W910" s="26" t="n"/>
      <c r="X910" s="26" t="n"/>
      <c r="Y910" s="26" t="n"/>
      <c r="Z910" s="26" t="n"/>
    </row>
    <row r="911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26" t="n"/>
      <c r="K911" s="26" t="n"/>
      <c r="L911" s="26" t="n"/>
      <c r="M911" s="26" t="n"/>
      <c r="N911" s="26" t="n"/>
      <c r="O911" s="26" t="n"/>
      <c r="P911" s="26" t="n"/>
      <c r="Q911" s="26" t="n"/>
      <c r="R911" s="26" t="n"/>
      <c r="S911" s="26" t="n"/>
      <c r="T911" s="26" t="n"/>
      <c r="U911" s="26" t="n"/>
      <c r="V911" s="26" t="n"/>
      <c r="W911" s="26" t="n"/>
      <c r="X911" s="26" t="n"/>
      <c r="Y911" s="26" t="n"/>
      <c r="Z911" s="26" t="n"/>
    </row>
    <row r="912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26" t="n"/>
      <c r="K912" s="26" t="n"/>
      <c r="L912" s="26" t="n"/>
      <c r="M912" s="26" t="n"/>
      <c r="N912" s="26" t="n"/>
      <c r="O912" s="26" t="n"/>
      <c r="P912" s="26" t="n"/>
      <c r="Q912" s="26" t="n"/>
      <c r="R912" s="26" t="n"/>
      <c r="S912" s="26" t="n"/>
      <c r="T912" s="26" t="n"/>
      <c r="U912" s="26" t="n"/>
      <c r="V912" s="26" t="n"/>
      <c r="W912" s="26" t="n"/>
      <c r="X912" s="26" t="n"/>
      <c r="Y912" s="26" t="n"/>
      <c r="Z912" s="26" t="n"/>
    </row>
    <row r="913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26" t="n"/>
      <c r="K913" s="26" t="n"/>
      <c r="L913" s="26" t="n"/>
      <c r="M913" s="26" t="n"/>
      <c r="N913" s="26" t="n"/>
      <c r="O913" s="26" t="n"/>
      <c r="P913" s="26" t="n"/>
      <c r="Q913" s="26" t="n"/>
      <c r="R913" s="26" t="n"/>
      <c r="S913" s="26" t="n"/>
      <c r="T913" s="26" t="n"/>
      <c r="U913" s="26" t="n"/>
      <c r="V913" s="26" t="n"/>
      <c r="W913" s="26" t="n"/>
      <c r="X913" s="26" t="n"/>
      <c r="Y913" s="26" t="n"/>
      <c r="Z913" s="26" t="n"/>
    </row>
    <row r="914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26" t="n"/>
      <c r="K914" s="26" t="n"/>
      <c r="L914" s="26" t="n"/>
      <c r="M914" s="26" t="n"/>
      <c r="N914" s="26" t="n"/>
      <c r="O914" s="26" t="n"/>
      <c r="P914" s="26" t="n"/>
      <c r="Q914" s="26" t="n"/>
      <c r="R914" s="26" t="n"/>
      <c r="S914" s="26" t="n"/>
      <c r="T914" s="26" t="n"/>
      <c r="U914" s="26" t="n"/>
      <c r="V914" s="26" t="n"/>
      <c r="W914" s="26" t="n"/>
      <c r="X914" s="26" t="n"/>
      <c r="Y914" s="26" t="n"/>
      <c r="Z914" s="26" t="n"/>
    </row>
    <row r="915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n"/>
      <c r="R915" s="26" t="n"/>
      <c r="S915" s="26" t="n"/>
      <c r="T915" s="26" t="n"/>
      <c r="U915" s="26" t="n"/>
      <c r="V915" s="26" t="n"/>
      <c r="W915" s="26" t="n"/>
      <c r="X915" s="26" t="n"/>
      <c r="Y915" s="26" t="n"/>
      <c r="Z915" s="26" t="n"/>
    </row>
    <row r="916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n"/>
      <c r="R916" s="26" t="n"/>
      <c r="S916" s="26" t="n"/>
      <c r="T916" s="26" t="n"/>
      <c r="U916" s="26" t="n"/>
      <c r="V916" s="26" t="n"/>
      <c r="W916" s="26" t="n"/>
      <c r="X916" s="26" t="n"/>
      <c r="Y916" s="26" t="n"/>
      <c r="Z916" s="26" t="n"/>
    </row>
    <row r="917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n"/>
      <c r="R917" s="26" t="n"/>
      <c r="S917" s="26" t="n"/>
      <c r="T917" s="26" t="n"/>
      <c r="U917" s="26" t="n"/>
      <c r="V917" s="26" t="n"/>
      <c r="W917" s="26" t="n"/>
      <c r="X917" s="26" t="n"/>
      <c r="Y917" s="26" t="n"/>
      <c r="Z917" s="26" t="n"/>
    </row>
    <row r="918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n"/>
      <c r="R918" s="26" t="n"/>
      <c r="S918" s="26" t="n"/>
      <c r="T918" s="26" t="n"/>
      <c r="U918" s="26" t="n"/>
      <c r="V918" s="26" t="n"/>
      <c r="W918" s="26" t="n"/>
      <c r="X918" s="26" t="n"/>
      <c r="Y918" s="26" t="n"/>
      <c r="Z918" s="26" t="n"/>
    </row>
    <row r="919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n"/>
      <c r="R919" s="26" t="n"/>
      <c r="S919" s="26" t="n"/>
      <c r="T919" s="26" t="n"/>
      <c r="U919" s="26" t="n"/>
      <c r="V919" s="26" t="n"/>
      <c r="W919" s="26" t="n"/>
      <c r="X919" s="26" t="n"/>
      <c r="Y919" s="26" t="n"/>
      <c r="Z919" s="26" t="n"/>
    </row>
    <row r="920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n"/>
      <c r="R920" s="26" t="n"/>
      <c r="S920" s="26" t="n"/>
      <c r="T920" s="26" t="n"/>
      <c r="U920" s="26" t="n"/>
      <c r="V920" s="26" t="n"/>
      <c r="W920" s="26" t="n"/>
      <c r="X920" s="26" t="n"/>
      <c r="Y920" s="26" t="n"/>
      <c r="Z920" s="26" t="n"/>
    </row>
    <row r="921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n"/>
      <c r="R921" s="26" t="n"/>
      <c r="S921" s="26" t="n"/>
      <c r="T921" s="26" t="n"/>
      <c r="U921" s="26" t="n"/>
      <c r="V921" s="26" t="n"/>
      <c r="W921" s="26" t="n"/>
      <c r="X921" s="26" t="n"/>
      <c r="Y921" s="26" t="n"/>
      <c r="Z921" s="26" t="n"/>
    </row>
    <row r="922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26" t="n"/>
      <c r="K922" s="26" t="n"/>
      <c r="L922" s="26" t="n"/>
      <c r="M922" s="26" t="n"/>
      <c r="N922" s="26" t="n"/>
      <c r="O922" s="26" t="n"/>
      <c r="P922" s="26" t="n"/>
      <c r="Q922" s="26" t="n"/>
      <c r="R922" s="26" t="n"/>
      <c r="S922" s="26" t="n"/>
      <c r="T922" s="26" t="n"/>
      <c r="U922" s="26" t="n"/>
      <c r="V922" s="26" t="n"/>
      <c r="W922" s="26" t="n"/>
      <c r="X922" s="26" t="n"/>
      <c r="Y922" s="26" t="n"/>
      <c r="Z922" s="26" t="n"/>
    </row>
    <row r="923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26" t="n"/>
      <c r="K923" s="26" t="n"/>
      <c r="L923" s="26" t="n"/>
      <c r="M923" s="26" t="n"/>
      <c r="N923" s="26" t="n"/>
      <c r="O923" s="26" t="n"/>
      <c r="P923" s="26" t="n"/>
      <c r="Q923" s="26" t="n"/>
      <c r="R923" s="26" t="n"/>
      <c r="S923" s="26" t="n"/>
      <c r="T923" s="26" t="n"/>
      <c r="U923" s="26" t="n"/>
      <c r="V923" s="26" t="n"/>
      <c r="W923" s="26" t="n"/>
      <c r="X923" s="26" t="n"/>
      <c r="Y923" s="26" t="n"/>
      <c r="Z923" s="26" t="n"/>
    </row>
    <row r="924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26" t="n"/>
      <c r="K924" s="26" t="n"/>
      <c r="L924" s="26" t="n"/>
      <c r="M924" s="26" t="n"/>
      <c r="N924" s="26" t="n"/>
      <c r="O924" s="26" t="n"/>
      <c r="P924" s="26" t="n"/>
      <c r="Q924" s="26" t="n"/>
      <c r="R924" s="26" t="n"/>
      <c r="S924" s="26" t="n"/>
      <c r="T924" s="26" t="n"/>
      <c r="U924" s="26" t="n"/>
      <c r="V924" s="26" t="n"/>
      <c r="W924" s="26" t="n"/>
      <c r="X924" s="26" t="n"/>
      <c r="Y924" s="26" t="n"/>
      <c r="Z924" s="26" t="n"/>
    </row>
    <row r="925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26" t="n"/>
      <c r="K925" s="26" t="n"/>
      <c r="L925" s="26" t="n"/>
      <c r="M925" s="26" t="n"/>
      <c r="N925" s="26" t="n"/>
      <c r="O925" s="26" t="n"/>
      <c r="P925" s="26" t="n"/>
      <c r="Q925" s="26" t="n"/>
      <c r="R925" s="26" t="n"/>
      <c r="S925" s="26" t="n"/>
      <c r="T925" s="26" t="n"/>
      <c r="U925" s="26" t="n"/>
      <c r="V925" s="26" t="n"/>
      <c r="W925" s="26" t="n"/>
      <c r="X925" s="26" t="n"/>
      <c r="Y925" s="26" t="n"/>
      <c r="Z925" s="26" t="n"/>
    </row>
    <row r="926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26" t="n"/>
      <c r="K926" s="26" t="n"/>
      <c r="L926" s="26" t="n"/>
      <c r="M926" s="26" t="n"/>
      <c r="N926" s="26" t="n"/>
      <c r="O926" s="26" t="n"/>
      <c r="P926" s="26" t="n"/>
      <c r="Q926" s="26" t="n"/>
      <c r="R926" s="26" t="n"/>
      <c r="S926" s="26" t="n"/>
      <c r="T926" s="26" t="n"/>
      <c r="U926" s="26" t="n"/>
      <c r="V926" s="26" t="n"/>
      <c r="W926" s="26" t="n"/>
      <c r="X926" s="26" t="n"/>
      <c r="Y926" s="26" t="n"/>
      <c r="Z926" s="26" t="n"/>
    </row>
    <row r="927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26" t="n"/>
      <c r="K927" s="26" t="n"/>
      <c r="L927" s="26" t="n"/>
      <c r="M927" s="26" t="n"/>
      <c r="N927" s="26" t="n"/>
      <c r="O927" s="26" t="n"/>
      <c r="P927" s="26" t="n"/>
      <c r="Q927" s="26" t="n"/>
      <c r="R927" s="26" t="n"/>
      <c r="S927" s="26" t="n"/>
      <c r="T927" s="26" t="n"/>
      <c r="U927" s="26" t="n"/>
      <c r="V927" s="26" t="n"/>
      <c r="W927" s="26" t="n"/>
      <c r="X927" s="26" t="n"/>
      <c r="Y927" s="26" t="n"/>
      <c r="Z927" s="26" t="n"/>
    </row>
    <row r="928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26" t="n"/>
      <c r="K928" s="26" t="n"/>
      <c r="L928" s="26" t="n"/>
      <c r="M928" s="26" t="n"/>
      <c r="N928" s="26" t="n"/>
      <c r="O928" s="26" t="n"/>
      <c r="P928" s="26" t="n"/>
      <c r="Q928" s="26" t="n"/>
      <c r="R928" s="26" t="n"/>
      <c r="S928" s="26" t="n"/>
      <c r="T928" s="26" t="n"/>
      <c r="U928" s="26" t="n"/>
      <c r="V928" s="26" t="n"/>
      <c r="W928" s="26" t="n"/>
      <c r="X928" s="26" t="n"/>
      <c r="Y928" s="26" t="n"/>
      <c r="Z928" s="26" t="n"/>
    </row>
    <row r="929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26" t="n"/>
      <c r="K929" s="26" t="n"/>
      <c r="L929" s="26" t="n"/>
      <c r="M929" s="26" t="n"/>
      <c r="N929" s="26" t="n"/>
      <c r="O929" s="26" t="n"/>
      <c r="P929" s="26" t="n"/>
      <c r="Q929" s="26" t="n"/>
      <c r="R929" s="26" t="n"/>
      <c r="S929" s="26" t="n"/>
      <c r="T929" s="26" t="n"/>
      <c r="U929" s="26" t="n"/>
      <c r="V929" s="26" t="n"/>
      <c r="W929" s="26" t="n"/>
      <c r="X929" s="26" t="n"/>
      <c r="Y929" s="26" t="n"/>
      <c r="Z929" s="26" t="n"/>
    </row>
    <row r="930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26" t="n"/>
      <c r="K930" s="26" t="n"/>
      <c r="L930" s="26" t="n"/>
      <c r="M930" s="26" t="n"/>
      <c r="N930" s="26" t="n"/>
      <c r="O930" s="26" t="n"/>
      <c r="P930" s="26" t="n"/>
      <c r="Q930" s="26" t="n"/>
      <c r="R930" s="26" t="n"/>
      <c r="S930" s="26" t="n"/>
      <c r="T930" s="26" t="n"/>
      <c r="U930" s="26" t="n"/>
      <c r="V930" s="26" t="n"/>
      <c r="W930" s="26" t="n"/>
      <c r="X930" s="26" t="n"/>
      <c r="Y930" s="26" t="n"/>
      <c r="Z930" s="26" t="n"/>
    </row>
    <row r="931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26" t="n"/>
      <c r="K931" s="26" t="n"/>
      <c r="L931" s="26" t="n"/>
      <c r="M931" s="26" t="n"/>
      <c r="N931" s="26" t="n"/>
      <c r="O931" s="26" t="n"/>
      <c r="P931" s="26" t="n"/>
      <c r="Q931" s="26" t="n"/>
      <c r="R931" s="26" t="n"/>
      <c r="S931" s="26" t="n"/>
      <c r="T931" s="26" t="n"/>
      <c r="U931" s="26" t="n"/>
      <c r="V931" s="26" t="n"/>
      <c r="W931" s="26" t="n"/>
      <c r="X931" s="26" t="n"/>
      <c r="Y931" s="26" t="n"/>
      <c r="Z931" s="26" t="n"/>
    </row>
    <row r="932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26" t="n"/>
      <c r="K932" s="26" t="n"/>
      <c r="L932" s="26" t="n"/>
      <c r="M932" s="26" t="n"/>
      <c r="N932" s="26" t="n"/>
      <c r="O932" s="26" t="n"/>
      <c r="P932" s="26" t="n"/>
      <c r="Q932" s="26" t="n"/>
      <c r="R932" s="26" t="n"/>
      <c r="S932" s="26" t="n"/>
      <c r="T932" s="26" t="n"/>
      <c r="U932" s="26" t="n"/>
      <c r="V932" s="26" t="n"/>
      <c r="W932" s="26" t="n"/>
      <c r="X932" s="26" t="n"/>
      <c r="Y932" s="26" t="n"/>
      <c r="Z932" s="26" t="n"/>
    </row>
    <row r="933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26" t="n"/>
      <c r="K933" s="26" t="n"/>
      <c r="L933" s="26" t="n"/>
      <c r="M933" s="26" t="n"/>
      <c r="N933" s="26" t="n"/>
      <c r="O933" s="26" t="n"/>
      <c r="P933" s="26" t="n"/>
      <c r="Q933" s="26" t="n"/>
      <c r="R933" s="26" t="n"/>
      <c r="S933" s="26" t="n"/>
      <c r="T933" s="26" t="n"/>
      <c r="U933" s="26" t="n"/>
      <c r="V933" s="26" t="n"/>
      <c r="W933" s="26" t="n"/>
      <c r="X933" s="26" t="n"/>
      <c r="Y933" s="26" t="n"/>
      <c r="Z933" s="26" t="n"/>
    </row>
    <row r="934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6" t="n"/>
      <c r="L934" s="26" t="n"/>
      <c r="M934" s="26" t="n"/>
      <c r="N934" s="26" t="n"/>
      <c r="O934" s="26" t="n"/>
      <c r="P934" s="26" t="n"/>
      <c r="Q934" s="26" t="n"/>
      <c r="R934" s="26" t="n"/>
      <c r="S934" s="26" t="n"/>
      <c r="T934" s="26" t="n"/>
      <c r="U934" s="26" t="n"/>
      <c r="V934" s="26" t="n"/>
      <c r="W934" s="26" t="n"/>
      <c r="X934" s="26" t="n"/>
      <c r="Y934" s="26" t="n"/>
      <c r="Z934" s="26" t="n"/>
    </row>
    <row r="935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26" t="n"/>
      <c r="K935" s="26" t="n"/>
      <c r="L935" s="26" t="n"/>
      <c r="M935" s="26" t="n"/>
      <c r="N935" s="26" t="n"/>
      <c r="O935" s="26" t="n"/>
      <c r="P935" s="26" t="n"/>
      <c r="Q935" s="26" t="n"/>
      <c r="R935" s="26" t="n"/>
      <c r="S935" s="26" t="n"/>
      <c r="T935" s="26" t="n"/>
      <c r="U935" s="26" t="n"/>
      <c r="V935" s="26" t="n"/>
      <c r="W935" s="26" t="n"/>
      <c r="X935" s="26" t="n"/>
      <c r="Y935" s="26" t="n"/>
      <c r="Z935" s="26" t="n"/>
    </row>
    <row r="936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26" t="n"/>
      <c r="K936" s="26" t="n"/>
      <c r="L936" s="26" t="n"/>
      <c r="M936" s="26" t="n"/>
      <c r="N936" s="26" t="n"/>
      <c r="O936" s="26" t="n"/>
      <c r="P936" s="26" t="n"/>
      <c r="Q936" s="26" t="n"/>
      <c r="R936" s="26" t="n"/>
      <c r="S936" s="26" t="n"/>
      <c r="T936" s="26" t="n"/>
      <c r="U936" s="26" t="n"/>
      <c r="V936" s="26" t="n"/>
      <c r="W936" s="26" t="n"/>
      <c r="X936" s="26" t="n"/>
      <c r="Y936" s="26" t="n"/>
      <c r="Z936" s="26" t="n"/>
    </row>
    <row r="937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26" t="n"/>
      <c r="K937" s="26" t="n"/>
      <c r="L937" s="26" t="n"/>
      <c r="M937" s="26" t="n"/>
      <c r="N937" s="26" t="n"/>
      <c r="O937" s="26" t="n"/>
      <c r="P937" s="26" t="n"/>
      <c r="Q937" s="26" t="n"/>
      <c r="R937" s="26" t="n"/>
      <c r="S937" s="26" t="n"/>
      <c r="T937" s="26" t="n"/>
      <c r="U937" s="26" t="n"/>
      <c r="V937" s="26" t="n"/>
      <c r="W937" s="26" t="n"/>
      <c r="X937" s="26" t="n"/>
      <c r="Y937" s="26" t="n"/>
      <c r="Z937" s="26" t="n"/>
    </row>
    <row r="938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26" t="n"/>
      <c r="K938" s="26" t="n"/>
      <c r="L938" s="26" t="n"/>
      <c r="M938" s="26" t="n"/>
      <c r="N938" s="26" t="n"/>
      <c r="O938" s="26" t="n"/>
      <c r="P938" s="26" t="n"/>
      <c r="Q938" s="26" t="n"/>
      <c r="R938" s="26" t="n"/>
      <c r="S938" s="26" t="n"/>
      <c r="T938" s="26" t="n"/>
      <c r="U938" s="26" t="n"/>
      <c r="V938" s="26" t="n"/>
      <c r="W938" s="26" t="n"/>
      <c r="X938" s="26" t="n"/>
      <c r="Y938" s="26" t="n"/>
      <c r="Z938" s="26" t="n"/>
    </row>
    <row r="939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26" t="n"/>
      <c r="K939" s="26" t="n"/>
      <c r="L939" s="26" t="n"/>
      <c r="M939" s="26" t="n"/>
      <c r="N939" s="26" t="n"/>
      <c r="O939" s="26" t="n"/>
      <c r="P939" s="26" t="n"/>
      <c r="Q939" s="26" t="n"/>
      <c r="R939" s="26" t="n"/>
      <c r="S939" s="26" t="n"/>
      <c r="T939" s="26" t="n"/>
      <c r="U939" s="26" t="n"/>
      <c r="V939" s="26" t="n"/>
      <c r="W939" s="26" t="n"/>
      <c r="X939" s="26" t="n"/>
      <c r="Y939" s="26" t="n"/>
      <c r="Z939" s="26" t="n"/>
    </row>
    <row r="940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26" t="n"/>
      <c r="K940" s="26" t="n"/>
      <c r="L940" s="26" t="n"/>
      <c r="M940" s="26" t="n"/>
      <c r="N940" s="26" t="n"/>
      <c r="O940" s="26" t="n"/>
      <c r="P940" s="26" t="n"/>
      <c r="Q940" s="26" t="n"/>
      <c r="R940" s="26" t="n"/>
      <c r="S940" s="26" t="n"/>
      <c r="T940" s="26" t="n"/>
      <c r="U940" s="26" t="n"/>
      <c r="V940" s="26" t="n"/>
      <c r="W940" s="26" t="n"/>
      <c r="X940" s="26" t="n"/>
      <c r="Y940" s="26" t="n"/>
      <c r="Z940" s="26" t="n"/>
    </row>
    <row r="941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26" t="n"/>
      <c r="K941" s="26" t="n"/>
      <c r="L941" s="26" t="n"/>
      <c r="M941" s="26" t="n"/>
      <c r="N941" s="26" t="n"/>
      <c r="O941" s="26" t="n"/>
      <c r="P941" s="26" t="n"/>
      <c r="Q941" s="26" t="n"/>
      <c r="R941" s="26" t="n"/>
      <c r="S941" s="26" t="n"/>
      <c r="T941" s="26" t="n"/>
      <c r="U941" s="26" t="n"/>
      <c r="V941" s="26" t="n"/>
      <c r="W941" s="26" t="n"/>
      <c r="X941" s="26" t="n"/>
      <c r="Y941" s="26" t="n"/>
      <c r="Z941" s="26" t="n"/>
    </row>
    <row r="942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26" t="n"/>
      <c r="K942" s="26" t="n"/>
      <c r="L942" s="26" t="n"/>
      <c r="M942" s="26" t="n"/>
      <c r="N942" s="26" t="n"/>
      <c r="O942" s="26" t="n"/>
      <c r="P942" s="26" t="n"/>
      <c r="Q942" s="26" t="n"/>
      <c r="R942" s="26" t="n"/>
      <c r="S942" s="26" t="n"/>
      <c r="T942" s="26" t="n"/>
      <c r="U942" s="26" t="n"/>
      <c r="V942" s="26" t="n"/>
      <c r="W942" s="26" t="n"/>
      <c r="X942" s="26" t="n"/>
      <c r="Y942" s="26" t="n"/>
      <c r="Z942" s="26" t="n"/>
    </row>
    <row r="943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26" t="n"/>
      <c r="K943" s="26" t="n"/>
      <c r="L943" s="26" t="n"/>
      <c r="M943" s="26" t="n"/>
      <c r="N943" s="26" t="n"/>
      <c r="O943" s="26" t="n"/>
      <c r="P943" s="26" t="n"/>
      <c r="Q943" s="26" t="n"/>
      <c r="R943" s="26" t="n"/>
      <c r="S943" s="26" t="n"/>
      <c r="T943" s="26" t="n"/>
      <c r="U943" s="26" t="n"/>
      <c r="V943" s="26" t="n"/>
      <c r="W943" s="26" t="n"/>
      <c r="X943" s="26" t="n"/>
      <c r="Y943" s="26" t="n"/>
      <c r="Z943" s="26" t="n"/>
    </row>
    <row r="944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26" t="n"/>
      <c r="K944" s="26" t="n"/>
      <c r="L944" s="26" t="n"/>
      <c r="M944" s="26" t="n"/>
      <c r="N944" s="26" t="n"/>
      <c r="O944" s="26" t="n"/>
      <c r="P944" s="26" t="n"/>
      <c r="Q944" s="26" t="n"/>
      <c r="R944" s="26" t="n"/>
      <c r="S944" s="26" t="n"/>
      <c r="T944" s="26" t="n"/>
      <c r="U944" s="26" t="n"/>
      <c r="V944" s="26" t="n"/>
      <c r="W944" s="26" t="n"/>
      <c r="X944" s="26" t="n"/>
      <c r="Y944" s="26" t="n"/>
      <c r="Z944" s="26" t="n"/>
    </row>
    <row r="945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26" t="n"/>
      <c r="K945" s="26" t="n"/>
      <c r="L945" s="26" t="n"/>
      <c r="M945" s="26" t="n"/>
      <c r="N945" s="26" t="n"/>
      <c r="O945" s="26" t="n"/>
      <c r="P945" s="26" t="n"/>
      <c r="Q945" s="26" t="n"/>
      <c r="R945" s="26" t="n"/>
      <c r="S945" s="26" t="n"/>
      <c r="T945" s="26" t="n"/>
      <c r="U945" s="26" t="n"/>
      <c r="V945" s="26" t="n"/>
      <c r="W945" s="26" t="n"/>
      <c r="X945" s="26" t="n"/>
      <c r="Y945" s="26" t="n"/>
      <c r="Z945" s="26" t="n"/>
    </row>
    <row r="946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26" t="n"/>
      <c r="K946" s="26" t="n"/>
      <c r="L946" s="26" t="n"/>
      <c r="M946" s="26" t="n"/>
      <c r="N946" s="26" t="n"/>
      <c r="O946" s="26" t="n"/>
      <c r="P946" s="26" t="n"/>
      <c r="Q946" s="26" t="n"/>
      <c r="R946" s="26" t="n"/>
      <c r="S946" s="26" t="n"/>
      <c r="T946" s="26" t="n"/>
      <c r="U946" s="26" t="n"/>
      <c r="V946" s="26" t="n"/>
      <c r="W946" s="26" t="n"/>
      <c r="X946" s="26" t="n"/>
      <c r="Y946" s="26" t="n"/>
      <c r="Z946" s="26" t="n"/>
    </row>
    <row r="947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26" t="n"/>
      <c r="K947" s="26" t="n"/>
      <c r="L947" s="26" t="n"/>
      <c r="M947" s="26" t="n"/>
      <c r="N947" s="26" t="n"/>
      <c r="O947" s="26" t="n"/>
      <c r="P947" s="26" t="n"/>
      <c r="Q947" s="26" t="n"/>
      <c r="R947" s="26" t="n"/>
      <c r="S947" s="26" t="n"/>
      <c r="T947" s="26" t="n"/>
      <c r="U947" s="26" t="n"/>
      <c r="V947" s="26" t="n"/>
      <c r="W947" s="26" t="n"/>
      <c r="X947" s="26" t="n"/>
      <c r="Y947" s="26" t="n"/>
      <c r="Z947" s="26" t="n"/>
    </row>
    <row r="948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26" t="n"/>
      <c r="K948" s="26" t="n"/>
      <c r="L948" s="26" t="n"/>
      <c r="M948" s="26" t="n"/>
      <c r="N948" s="26" t="n"/>
      <c r="O948" s="26" t="n"/>
      <c r="P948" s="26" t="n"/>
      <c r="Q948" s="26" t="n"/>
      <c r="R948" s="26" t="n"/>
      <c r="S948" s="26" t="n"/>
      <c r="T948" s="26" t="n"/>
      <c r="U948" s="26" t="n"/>
      <c r="V948" s="26" t="n"/>
      <c r="W948" s="26" t="n"/>
      <c r="X948" s="26" t="n"/>
      <c r="Y948" s="26" t="n"/>
      <c r="Z948" s="26" t="n"/>
    </row>
    <row r="949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26" t="n"/>
      <c r="K949" s="26" t="n"/>
      <c r="L949" s="26" t="n"/>
      <c r="M949" s="26" t="n"/>
      <c r="N949" s="26" t="n"/>
      <c r="O949" s="26" t="n"/>
      <c r="P949" s="26" t="n"/>
      <c r="Q949" s="26" t="n"/>
      <c r="R949" s="26" t="n"/>
      <c r="S949" s="26" t="n"/>
      <c r="T949" s="26" t="n"/>
      <c r="U949" s="26" t="n"/>
      <c r="V949" s="26" t="n"/>
      <c r="W949" s="26" t="n"/>
      <c r="X949" s="26" t="n"/>
      <c r="Y949" s="26" t="n"/>
      <c r="Z949" s="26" t="n"/>
    </row>
    <row r="950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26" t="n"/>
      <c r="K950" s="26" t="n"/>
      <c r="L950" s="26" t="n"/>
      <c r="M950" s="26" t="n"/>
      <c r="N950" s="26" t="n"/>
      <c r="O950" s="26" t="n"/>
      <c r="P950" s="26" t="n"/>
      <c r="Q950" s="26" t="n"/>
      <c r="R950" s="26" t="n"/>
      <c r="S950" s="26" t="n"/>
      <c r="T950" s="26" t="n"/>
      <c r="U950" s="26" t="n"/>
      <c r="V950" s="26" t="n"/>
      <c r="W950" s="26" t="n"/>
      <c r="X950" s="26" t="n"/>
      <c r="Y950" s="26" t="n"/>
      <c r="Z950" s="26" t="n"/>
    </row>
    <row r="951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26" t="n"/>
      <c r="K951" s="26" t="n"/>
      <c r="L951" s="26" t="n"/>
      <c r="M951" s="26" t="n"/>
      <c r="N951" s="26" t="n"/>
      <c r="O951" s="26" t="n"/>
      <c r="P951" s="26" t="n"/>
      <c r="Q951" s="26" t="n"/>
      <c r="R951" s="26" t="n"/>
      <c r="S951" s="26" t="n"/>
      <c r="T951" s="26" t="n"/>
      <c r="U951" s="26" t="n"/>
      <c r="V951" s="26" t="n"/>
      <c r="W951" s="26" t="n"/>
      <c r="X951" s="26" t="n"/>
      <c r="Y951" s="26" t="n"/>
      <c r="Z951" s="26" t="n"/>
    </row>
    <row r="952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n"/>
      <c r="R952" s="26" t="n"/>
      <c r="S952" s="26" t="n"/>
      <c r="T952" s="26" t="n"/>
      <c r="U952" s="26" t="n"/>
      <c r="V952" s="26" t="n"/>
      <c r="W952" s="26" t="n"/>
      <c r="X952" s="26" t="n"/>
      <c r="Y952" s="26" t="n"/>
      <c r="Z952" s="26" t="n"/>
    </row>
    <row r="953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n"/>
      <c r="R953" s="26" t="n"/>
      <c r="S953" s="26" t="n"/>
      <c r="T953" s="26" t="n"/>
      <c r="U953" s="26" t="n"/>
      <c r="V953" s="26" t="n"/>
      <c r="W953" s="26" t="n"/>
      <c r="X953" s="26" t="n"/>
      <c r="Y953" s="26" t="n"/>
      <c r="Z953" s="26" t="n"/>
    </row>
    <row r="954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n"/>
      <c r="R954" s="26" t="n"/>
      <c r="S954" s="26" t="n"/>
      <c r="T954" s="26" t="n"/>
      <c r="U954" s="26" t="n"/>
      <c r="V954" s="26" t="n"/>
      <c r="W954" s="26" t="n"/>
      <c r="X954" s="26" t="n"/>
      <c r="Y954" s="26" t="n"/>
      <c r="Z954" s="26" t="n"/>
    </row>
    <row r="955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n"/>
      <c r="R955" s="26" t="n"/>
      <c r="S955" s="26" t="n"/>
      <c r="T955" s="26" t="n"/>
      <c r="U955" s="26" t="n"/>
      <c r="V955" s="26" t="n"/>
      <c r="W955" s="26" t="n"/>
      <c r="X955" s="26" t="n"/>
      <c r="Y955" s="26" t="n"/>
      <c r="Z955" s="26" t="n"/>
    </row>
    <row r="956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n"/>
      <c r="R956" s="26" t="n"/>
      <c r="S956" s="26" t="n"/>
      <c r="T956" s="26" t="n"/>
      <c r="U956" s="26" t="n"/>
      <c r="V956" s="26" t="n"/>
      <c r="W956" s="26" t="n"/>
      <c r="X956" s="26" t="n"/>
      <c r="Y956" s="26" t="n"/>
      <c r="Z956" s="26" t="n"/>
    </row>
    <row r="957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n"/>
      <c r="R957" s="26" t="n"/>
      <c r="S957" s="26" t="n"/>
      <c r="T957" s="26" t="n"/>
      <c r="U957" s="26" t="n"/>
      <c r="V957" s="26" t="n"/>
      <c r="W957" s="26" t="n"/>
      <c r="X957" s="26" t="n"/>
      <c r="Y957" s="26" t="n"/>
      <c r="Z957" s="26" t="n"/>
    </row>
    <row r="958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n"/>
      <c r="R958" s="26" t="n"/>
      <c r="S958" s="26" t="n"/>
      <c r="T958" s="26" t="n"/>
      <c r="U958" s="26" t="n"/>
      <c r="V958" s="26" t="n"/>
      <c r="W958" s="26" t="n"/>
      <c r="X958" s="26" t="n"/>
      <c r="Y958" s="26" t="n"/>
      <c r="Z958" s="26" t="n"/>
    </row>
    <row r="959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n"/>
      <c r="R959" s="26" t="n"/>
      <c r="S959" s="26" t="n"/>
      <c r="T959" s="26" t="n"/>
      <c r="U959" s="26" t="n"/>
      <c r="V959" s="26" t="n"/>
      <c r="W959" s="26" t="n"/>
      <c r="X959" s="26" t="n"/>
      <c r="Y959" s="26" t="n"/>
      <c r="Z959" s="26" t="n"/>
    </row>
    <row r="960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n"/>
      <c r="R960" s="26" t="n"/>
      <c r="S960" s="26" t="n"/>
      <c r="T960" s="26" t="n"/>
      <c r="U960" s="26" t="n"/>
      <c r="V960" s="26" t="n"/>
      <c r="W960" s="26" t="n"/>
      <c r="X960" s="26" t="n"/>
      <c r="Y960" s="26" t="n"/>
      <c r="Z960" s="26" t="n"/>
    </row>
    <row r="961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n"/>
      <c r="R961" s="26" t="n"/>
      <c r="S961" s="26" t="n"/>
      <c r="T961" s="26" t="n"/>
      <c r="U961" s="26" t="n"/>
      <c r="V961" s="26" t="n"/>
      <c r="W961" s="26" t="n"/>
      <c r="X961" s="26" t="n"/>
      <c r="Y961" s="26" t="n"/>
      <c r="Z961" s="26" t="n"/>
    </row>
    <row r="962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26" t="n"/>
      <c r="K962" s="26" t="n"/>
      <c r="L962" s="26" t="n"/>
      <c r="M962" s="26" t="n"/>
      <c r="N962" s="26" t="n"/>
      <c r="O962" s="26" t="n"/>
      <c r="P962" s="26" t="n"/>
      <c r="Q962" s="26" t="n"/>
      <c r="R962" s="26" t="n"/>
      <c r="S962" s="26" t="n"/>
      <c r="T962" s="26" t="n"/>
      <c r="U962" s="26" t="n"/>
      <c r="V962" s="26" t="n"/>
      <c r="W962" s="26" t="n"/>
      <c r="X962" s="26" t="n"/>
      <c r="Y962" s="26" t="n"/>
      <c r="Z962" s="26" t="n"/>
    </row>
    <row r="963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26" t="n"/>
      <c r="K963" s="26" t="n"/>
      <c r="L963" s="26" t="n"/>
      <c r="M963" s="26" t="n"/>
      <c r="N963" s="26" t="n"/>
      <c r="O963" s="26" t="n"/>
      <c r="P963" s="26" t="n"/>
      <c r="Q963" s="26" t="n"/>
      <c r="R963" s="26" t="n"/>
      <c r="S963" s="26" t="n"/>
      <c r="T963" s="26" t="n"/>
      <c r="U963" s="26" t="n"/>
      <c r="V963" s="26" t="n"/>
      <c r="W963" s="26" t="n"/>
      <c r="X963" s="26" t="n"/>
      <c r="Y963" s="26" t="n"/>
      <c r="Z963" s="26" t="n"/>
    </row>
    <row r="964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26" t="n"/>
      <c r="K964" s="26" t="n"/>
      <c r="L964" s="26" t="n"/>
      <c r="M964" s="26" t="n"/>
      <c r="N964" s="26" t="n"/>
      <c r="O964" s="26" t="n"/>
      <c r="P964" s="26" t="n"/>
      <c r="Q964" s="26" t="n"/>
      <c r="R964" s="26" t="n"/>
      <c r="S964" s="26" t="n"/>
      <c r="T964" s="26" t="n"/>
      <c r="U964" s="26" t="n"/>
      <c r="V964" s="26" t="n"/>
      <c r="W964" s="26" t="n"/>
      <c r="X964" s="26" t="n"/>
      <c r="Y964" s="26" t="n"/>
      <c r="Z964" s="26" t="n"/>
    </row>
    <row r="965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26" t="n"/>
      <c r="K965" s="26" t="n"/>
      <c r="L965" s="26" t="n"/>
      <c r="M965" s="26" t="n"/>
      <c r="N965" s="26" t="n"/>
      <c r="O965" s="26" t="n"/>
      <c r="P965" s="26" t="n"/>
      <c r="Q965" s="26" t="n"/>
      <c r="R965" s="26" t="n"/>
      <c r="S965" s="26" t="n"/>
      <c r="T965" s="26" t="n"/>
      <c r="U965" s="26" t="n"/>
      <c r="V965" s="26" t="n"/>
      <c r="W965" s="26" t="n"/>
      <c r="X965" s="26" t="n"/>
      <c r="Y965" s="26" t="n"/>
      <c r="Z965" s="26" t="n"/>
    </row>
    <row r="966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26" t="n"/>
      <c r="K966" s="26" t="n"/>
      <c r="L966" s="26" t="n"/>
      <c r="M966" s="26" t="n"/>
      <c r="N966" s="26" t="n"/>
      <c r="O966" s="26" t="n"/>
      <c r="P966" s="26" t="n"/>
      <c r="Q966" s="26" t="n"/>
      <c r="R966" s="26" t="n"/>
      <c r="S966" s="26" t="n"/>
      <c r="T966" s="26" t="n"/>
      <c r="U966" s="26" t="n"/>
      <c r="V966" s="26" t="n"/>
      <c r="W966" s="26" t="n"/>
      <c r="X966" s="26" t="n"/>
      <c r="Y966" s="26" t="n"/>
      <c r="Z966" s="26" t="n"/>
    </row>
    <row r="967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26" t="n"/>
      <c r="K967" s="26" t="n"/>
      <c r="L967" s="26" t="n"/>
      <c r="M967" s="26" t="n"/>
      <c r="N967" s="26" t="n"/>
      <c r="O967" s="26" t="n"/>
      <c r="P967" s="26" t="n"/>
      <c r="Q967" s="26" t="n"/>
      <c r="R967" s="26" t="n"/>
      <c r="S967" s="26" t="n"/>
      <c r="T967" s="26" t="n"/>
      <c r="U967" s="26" t="n"/>
      <c r="V967" s="26" t="n"/>
      <c r="W967" s="26" t="n"/>
      <c r="X967" s="26" t="n"/>
      <c r="Y967" s="26" t="n"/>
      <c r="Z967" s="26" t="n"/>
    </row>
    <row r="968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26" t="n"/>
      <c r="K968" s="26" t="n"/>
      <c r="L968" s="26" t="n"/>
      <c r="M968" s="26" t="n"/>
      <c r="N968" s="26" t="n"/>
      <c r="O968" s="26" t="n"/>
      <c r="P968" s="26" t="n"/>
      <c r="Q968" s="26" t="n"/>
      <c r="R968" s="26" t="n"/>
      <c r="S968" s="26" t="n"/>
      <c r="T968" s="26" t="n"/>
      <c r="U968" s="26" t="n"/>
      <c r="V968" s="26" t="n"/>
      <c r="W968" s="26" t="n"/>
      <c r="X968" s="26" t="n"/>
      <c r="Y968" s="26" t="n"/>
      <c r="Z968" s="26" t="n"/>
    </row>
    <row r="969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26" t="n"/>
      <c r="K969" s="26" t="n"/>
      <c r="L969" s="26" t="n"/>
      <c r="M969" s="26" t="n"/>
      <c r="N969" s="26" t="n"/>
      <c r="O969" s="26" t="n"/>
      <c r="P969" s="26" t="n"/>
      <c r="Q969" s="26" t="n"/>
      <c r="R969" s="26" t="n"/>
      <c r="S969" s="26" t="n"/>
      <c r="T969" s="26" t="n"/>
      <c r="U969" s="26" t="n"/>
      <c r="V969" s="26" t="n"/>
      <c r="W969" s="26" t="n"/>
      <c r="X969" s="26" t="n"/>
      <c r="Y969" s="26" t="n"/>
      <c r="Z969" s="26" t="n"/>
    </row>
    <row r="970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26" t="n"/>
      <c r="K970" s="26" t="n"/>
      <c r="L970" s="26" t="n"/>
      <c r="M970" s="26" t="n"/>
      <c r="N970" s="26" t="n"/>
      <c r="O970" s="26" t="n"/>
      <c r="P970" s="26" t="n"/>
      <c r="Q970" s="26" t="n"/>
      <c r="R970" s="26" t="n"/>
      <c r="S970" s="26" t="n"/>
      <c r="T970" s="26" t="n"/>
      <c r="U970" s="26" t="n"/>
      <c r="V970" s="26" t="n"/>
      <c r="W970" s="26" t="n"/>
      <c r="X970" s="26" t="n"/>
      <c r="Y970" s="26" t="n"/>
      <c r="Z970" s="26" t="n"/>
    </row>
    <row r="971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26" t="n"/>
      <c r="K971" s="26" t="n"/>
      <c r="L971" s="26" t="n"/>
      <c r="M971" s="26" t="n"/>
      <c r="N971" s="26" t="n"/>
      <c r="O971" s="26" t="n"/>
      <c r="P971" s="26" t="n"/>
      <c r="Q971" s="26" t="n"/>
      <c r="R971" s="26" t="n"/>
      <c r="S971" s="26" t="n"/>
      <c r="T971" s="26" t="n"/>
      <c r="U971" s="26" t="n"/>
      <c r="V971" s="26" t="n"/>
      <c r="W971" s="26" t="n"/>
      <c r="X971" s="26" t="n"/>
      <c r="Y971" s="26" t="n"/>
      <c r="Z971" s="26" t="n"/>
    </row>
    <row r="972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26" t="n"/>
      <c r="K972" s="26" t="n"/>
      <c r="L972" s="26" t="n"/>
      <c r="M972" s="26" t="n"/>
      <c r="N972" s="26" t="n"/>
      <c r="O972" s="26" t="n"/>
      <c r="P972" s="26" t="n"/>
      <c r="Q972" s="26" t="n"/>
      <c r="R972" s="26" t="n"/>
      <c r="S972" s="26" t="n"/>
      <c r="T972" s="26" t="n"/>
      <c r="U972" s="26" t="n"/>
      <c r="V972" s="26" t="n"/>
      <c r="W972" s="26" t="n"/>
      <c r="X972" s="26" t="n"/>
      <c r="Y972" s="26" t="n"/>
      <c r="Z972" s="26" t="n"/>
    </row>
    <row r="973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26" t="n"/>
      <c r="K973" s="26" t="n"/>
      <c r="L973" s="26" t="n"/>
      <c r="M973" s="26" t="n"/>
      <c r="N973" s="26" t="n"/>
      <c r="O973" s="26" t="n"/>
      <c r="P973" s="26" t="n"/>
      <c r="Q973" s="26" t="n"/>
      <c r="R973" s="26" t="n"/>
      <c r="S973" s="26" t="n"/>
      <c r="T973" s="26" t="n"/>
      <c r="U973" s="26" t="n"/>
      <c r="V973" s="26" t="n"/>
      <c r="W973" s="26" t="n"/>
      <c r="X973" s="26" t="n"/>
      <c r="Y973" s="26" t="n"/>
      <c r="Z973" s="26" t="n"/>
    </row>
    <row r="974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26" t="n"/>
      <c r="K974" s="26" t="n"/>
      <c r="L974" s="26" t="n"/>
      <c r="M974" s="26" t="n"/>
      <c r="N974" s="26" t="n"/>
      <c r="O974" s="26" t="n"/>
      <c r="P974" s="26" t="n"/>
      <c r="Q974" s="26" t="n"/>
      <c r="R974" s="26" t="n"/>
      <c r="S974" s="26" t="n"/>
      <c r="T974" s="26" t="n"/>
      <c r="U974" s="26" t="n"/>
      <c r="V974" s="26" t="n"/>
      <c r="W974" s="26" t="n"/>
      <c r="X974" s="26" t="n"/>
      <c r="Y974" s="26" t="n"/>
      <c r="Z974" s="26" t="n"/>
    </row>
    <row r="975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26" t="n"/>
      <c r="K975" s="26" t="n"/>
      <c r="L975" s="26" t="n"/>
      <c r="M975" s="26" t="n"/>
      <c r="N975" s="26" t="n"/>
      <c r="O975" s="26" t="n"/>
      <c r="P975" s="26" t="n"/>
      <c r="Q975" s="26" t="n"/>
      <c r="R975" s="26" t="n"/>
      <c r="S975" s="26" t="n"/>
      <c r="T975" s="26" t="n"/>
      <c r="U975" s="26" t="n"/>
      <c r="V975" s="26" t="n"/>
      <c r="W975" s="26" t="n"/>
      <c r="X975" s="26" t="n"/>
      <c r="Y975" s="26" t="n"/>
      <c r="Z975" s="26" t="n"/>
    </row>
    <row r="976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26" t="n"/>
      <c r="K976" s="26" t="n"/>
      <c r="L976" s="26" t="n"/>
      <c r="M976" s="26" t="n"/>
      <c r="N976" s="26" t="n"/>
      <c r="O976" s="26" t="n"/>
      <c r="P976" s="26" t="n"/>
      <c r="Q976" s="26" t="n"/>
      <c r="R976" s="26" t="n"/>
      <c r="S976" s="26" t="n"/>
      <c r="T976" s="26" t="n"/>
      <c r="U976" s="26" t="n"/>
      <c r="V976" s="26" t="n"/>
      <c r="W976" s="26" t="n"/>
      <c r="X976" s="26" t="n"/>
      <c r="Y976" s="26" t="n"/>
      <c r="Z976" s="26" t="n"/>
    </row>
    <row r="977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26" t="n"/>
      <c r="K977" s="26" t="n"/>
      <c r="L977" s="26" t="n"/>
      <c r="M977" s="26" t="n"/>
      <c r="N977" s="26" t="n"/>
      <c r="O977" s="26" t="n"/>
      <c r="P977" s="26" t="n"/>
      <c r="Q977" s="26" t="n"/>
      <c r="R977" s="26" t="n"/>
      <c r="S977" s="26" t="n"/>
      <c r="T977" s="26" t="n"/>
      <c r="U977" s="26" t="n"/>
      <c r="V977" s="26" t="n"/>
      <c r="W977" s="26" t="n"/>
      <c r="X977" s="26" t="n"/>
      <c r="Y977" s="26" t="n"/>
      <c r="Z977" s="26" t="n"/>
    </row>
    <row r="978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26" t="n"/>
      <c r="K978" s="26" t="n"/>
      <c r="L978" s="26" t="n"/>
      <c r="M978" s="26" t="n"/>
      <c r="N978" s="26" t="n"/>
      <c r="O978" s="26" t="n"/>
      <c r="P978" s="26" t="n"/>
      <c r="Q978" s="26" t="n"/>
      <c r="R978" s="26" t="n"/>
      <c r="S978" s="26" t="n"/>
      <c r="T978" s="26" t="n"/>
      <c r="U978" s="26" t="n"/>
      <c r="V978" s="26" t="n"/>
      <c r="W978" s="26" t="n"/>
      <c r="X978" s="26" t="n"/>
      <c r="Y978" s="26" t="n"/>
      <c r="Z978" s="26" t="n"/>
    </row>
    <row r="979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26" t="n"/>
      <c r="K979" s="26" t="n"/>
      <c r="L979" s="26" t="n"/>
      <c r="M979" s="26" t="n"/>
      <c r="N979" s="26" t="n"/>
      <c r="O979" s="26" t="n"/>
      <c r="P979" s="26" t="n"/>
      <c r="Q979" s="26" t="n"/>
      <c r="R979" s="26" t="n"/>
      <c r="S979" s="26" t="n"/>
      <c r="T979" s="26" t="n"/>
      <c r="U979" s="26" t="n"/>
      <c r="V979" s="26" t="n"/>
      <c r="W979" s="26" t="n"/>
      <c r="X979" s="26" t="n"/>
      <c r="Y979" s="26" t="n"/>
      <c r="Z979" s="26" t="n"/>
    </row>
    <row r="980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26" t="n"/>
      <c r="K980" s="26" t="n"/>
      <c r="L980" s="26" t="n"/>
      <c r="M980" s="26" t="n"/>
      <c r="N980" s="26" t="n"/>
      <c r="O980" s="26" t="n"/>
      <c r="P980" s="26" t="n"/>
      <c r="Q980" s="26" t="n"/>
      <c r="R980" s="26" t="n"/>
      <c r="S980" s="26" t="n"/>
      <c r="T980" s="26" t="n"/>
      <c r="U980" s="26" t="n"/>
      <c r="V980" s="26" t="n"/>
      <c r="W980" s="26" t="n"/>
      <c r="X980" s="26" t="n"/>
      <c r="Y980" s="26" t="n"/>
      <c r="Z980" s="26" t="n"/>
    </row>
    <row r="981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26" t="n"/>
      <c r="K981" s="26" t="n"/>
      <c r="L981" s="26" t="n"/>
      <c r="M981" s="26" t="n"/>
      <c r="N981" s="26" t="n"/>
      <c r="O981" s="26" t="n"/>
      <c r="P981" s="26" t="n"/>
      <c r="Q981" s="26" t="n"/>
      <c r="R981" s="26" t="n"/>
      <c r="S981" s="26" t="n"/>
      <c r="T981" s="26" t="n"/>
      <c r="U981" s="26" t="n"/>
      <c r="V981" s="26" t="n"/>
      <c r="W981" s="26" t="n"/>
      <c r="X981" s="26" t="n"/>
      <c r="Y981" s="26" t="n"/>
      <c r="Z981" s="26" t="n"/>
    </row>
    <row r="982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26" t="n"/>
      <c r="K982" s="26" t="n"/>
      <c r="L982" s="26" t="n"/>
      <c r="M982" s="26" t="n"/>
      <c r="N982" s="26" t="n"/>
      <c r="O982" s="26" t="n"/>
      <c r="P982" s="26" t="n"/>
      <c r="Q982" s="26" t="n"/>
      <c r="R982" s="26" t="n"/>
      <c r="S982" s="26" t="n"/>
      <c r="T982" s="26" t="n"/>
      <c r="U982" s="26" t="n"/>
      <c r="V982" s="26" t="n"/>
      <c r="W982" s="26" t="n"/>
      <c r="X982" s="26" t="n"/>
      <c r="Y982" s="26" t="n"/>
      <c r="Z982" s="26" t="n"/>
    </row>
    <row r="983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26" t="n"/>
      <c r="K983" s="26" t="n"/>
      <c r="L983" s="26" t="n"/>
      <c r="M983" s="26" t="n"/>
      <c r="N983" s="26" t="n"/>
      <c r="O983" s="26" t="n"/>
      <c r="P983" s="26" t="n"/>
      <c r="Q983" s="26" t="n"/>
      <c r="R983" s="26" t="n"/>
      <c r="S983" s="26" t="n"/>
      <c r="T983" s="26" t="n"/>
      <c r="U983" s="26" t="n"/>
      <c r="V983" s="26" t="n"/>
      <c r="W983" s="26" t="n"/>
      <c r="X983" s="26" t="n"/>
      <c r="Y983" s="26" t="n"/>
      <c r="Z983" s="26" t="n"/>
    </row>
    <row r="984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26" t="n"/>
      <c r="K984" s="26" t="n"/>
      <c r="L984" s="26" t="n"/>
      <c r="M984" s="26" t="n"/>
      <c r="N984" s="26" t="n"/>
      <c r="O984" s="26" t="n"/>
      <c r="P984" s="26" t="n"/>
      <c r="Q984" s="26" t="n"/>
      <c r="R984" s="26" t="n"/>
      <c r="S984" s="26" t="n"/>
      <c r="T984" s="26" t="n"/>
      <c r="U984" s="26" t="n"/>
      <c r="V984" s="26" t="n"/>
      <c r="W984" s="26" t="n"/>
      <c r="X984" s="26" t="n"/>
      <c r="Y984" s="26" t="n"/>
      <c r="Z984" s="26" t="n"/>
    </row>
    <row r="985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26" t="n"/>
      <c r="K985" s="26" t="n"/>
      <c r="L985" s="26" t="n"/>
      <c r="M985" s="26" t="n"/>
      <c r="N985" s="26" t="n"/>
      <c r="O985" s="26" t="n"/>
      <c r="P985" s="26" t="n"/>
      <c r="Q985" s="26" t="n"/>
      <c r="R985" s="26" t="n"/>
      <c r="S985" s="26" t="n"/>
      <c r="T985" s="26" t="n"/>
      <c r="U985" s="26" t="n"/>
      <c r="V985" s="26" t="n"/>
      <c r="W985" s="26" t="n"/>
      <c r="X985" s="26" t="n"/>
      <c r="Y985" s="26" t="n"/>
      <c r="Z985" s="26" t="n"/>
    </row>
    <row r="986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26" t="n"/>
      <c r="K986" s="26" t="n"/>
      <c r="L986" s="26" t="n"/>
      <c r="M986" s="26" t="n"/>
      <c r="N986" s="26" t="n"/>
      <c r="O986" s="26" t="n"/>
      <c r="P986" s="26" t="n"/>
      <c r="Q986" s="26" t="n"/>
      <c r="R986" s="26" t="n"/>
      <c r="S986" s="26" t="n"/>
      <c r="T986" s="26" t="n"/>
      <c r="U986" s="26" t="n"/>
      <c r="V986" s="26" t="n"/>
      <c r="W986" s="26" t="n"/>
      <c r="X986" s="26" t="n"/>
      <c r="Y986" s="26" t="n"/>
      <c r="Z986" s="26" t="n"/>
    </row>
    <row r="987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26" t="n"/>
      <c r="K987" s="26" t="n"/>
      <c r="L987" s="26" t="n"/>
      <c r="M987" s="26" t="n"/>
      <c r="N987" s="26" t="n"/>
      <c r="O987" s="26" t="n"/>
      <c r="P987" s="26" t="n"/>
      <c r="Q987" s="26" t="n"/>
      <c r="R987" s="26" t="n"/>
      <c r="S987" s="26" t="n"/>
      <c r="T987" s="26" t="n"/>
      <c r="U987" s="26" t="n"/>
      <c r="V987" s="26" t="n"/>
      <c r="W987" s="26" t="n"/>
      <c r="X987" s="26" t="n"/>
      <c r="Y987" s="26" t="n"/>
      <c r="Z987" s="26" t="n"/>
    </row>
    <row r="988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26" t="n"/>
      <c r="K988" s="26" t="n"/>
      <c r="L988" s="26" t="n"/>
      <c r="M988" s="26" t="n"/>
      <c r="N988" s="26" t="n"/>
      <c r="O988" s="26" t="n"/>
      <c r="P988" s="26" t="n"/>
      <c r="Q988" s="26" t="n"/>
      <c r="R988" s="26" t="n"/>
      <c r="S988" s="26" t="n"/>
      <c r="T988" s="26" t="n"/>
      <c r="U988" s="26" t="n"/>
      <c r="V988" s="26" t="n"/>
      <c r="W988" s="26" t="n"/>
      <c r="X988" s="26" t="n"/>
      <c r="Y988" s="26" t="n"/>
      <c r="Z988" s="26" t="n"/>
    </row>
    <row r="989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26" t="n"/>
      <c r="K989" s="26" t="n"/>
      <c r="L989" s="26" t="n"/>
      <c r="M989" s="26" t="n"/>
      <c r="N989" s="26" t="n"/>
      <c r="O989" s="26" t="n"/>
      <c r="P989" s="26" t="n"/>
      <c r="Q989" s="26" t="n"/>
      <c r="R989" s="26" t="n"/>
      <c r="S989" s="26" t="n"/>
      <c r="T989" s="26" t="n"/>
      <c r="U989" s="26" t="n"/>
      <c r="V989" s="26" t="n"/>
      <c r="W989" s="26" t="n"/>
      <c r="X989" s="26" t="n"/>
      <c r="Y989" s="26" t="n"/>
      <c r="Z989" s="26" t="n"/>
    </row>
    <row r="990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26" t="n"/>
      <c r="K990" s="26" t="n"/>
      <c r="L990" s="26" t="n"/>
      <c r="M990" s="26" t="n"/>
      <c r="N990" s="26" t="n"/>
      <c r="O990" s="26" t="n"/>
      <c r="P990" s="26" t="n"/>
      <c r="Q990" s="26" t="n"/>
      <c r="R990" s="26" t="n"/>
      <c r="S990" s="26" t="n"/>
      <c r="T990" s="26" t="n"/>
      <c r="U990" s="26" t="n"/>
      <c r="V990" s="26" t="n"/>
      <c r="W990" s="26" t="n"/>
      <c r="X990" s="26" t="n"/>
      <c r="Y990" s="26" t="n"/>
      <c r="Z990" s="26" t="n"/>
    </row>
    <row r="991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26" t="n"/>
      <c r="K991" s="26" t="n"/>
      <c r="L991" s="26" t="n"/>
      <c r="M991" s="26" t="n"/>
      <c r="N991" s="26" t="n"/>
      <c r="O991" s="26" t="n"/>
      <c r="P991" s="26" t="n"/>
      <c r="Q991" s="26" t="n"/>
      <c r="R991" s="26" t="n"/>
      <c r="S991" s="26" t="n"/>
      <c r="T991" s="26" t="n"/>
      <c r="U991" s="26" t="n"/>
      <c r="V991" s="26" t="n"/>
      <c r="W991" s="26" t="n"/>
      <c r="X991" s="26" t="n"/>
      <c r="Y991" s="26" t="n"/>
      <c r="Z991" s="26" t="n"/>
    </row>
    <row r="992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26" t="n"/>
      <c r="K992" s="26" t="n"/>
      <c r="L992" s="26" t="n"/>
      <c r="M992" s="26" t="n"/>
      <c r="N992" s="26" t="n"/>
      <c r="O992" s="26" t="n"/>
      <c r="P992" s="26" t="n"/>
      <c r="Q992" s="26" t="n"/>
      <c r="R992" s="26" t="n"/>
      <c r="S992" s="26" t="n"/>
      <c r="T992" s="26" t="n"/>
      <c r="U992" s="26" t="n"/>
      <c r="V992" s="26" t="n"/>
      <c r="W992" s="26" t="n"/>
      <c r="X992" s="26" t="n"/>
      <c r="Y992" s="26" t="n"/>
      <c r="Z992" s="26" t="n"/>
    </row>
    <row r="993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26" t="n"/>
      <c r="K993" s="26" t="n"/>
      <c r="L993" s="26" t="n"/>
      <c r="M993" s="26" t="n"/>
      <c r="N993" s="26" t="n"/>
      <c r="O993" s="26" t="n"/>
      <c r="P993" s="26" t="n"/>
      <c r="Q993" s="26" t="n"/>
      <c r="R993" s="26" t="n"/>
      <c r="S993" s="26" t="n"/>
      <c r="T993" s="26" t="n"/>
      <c r="U993" s="26" t="n"/>
      <c r="V993" s="26" t="n"/>
      <c r="W993" s="26" t="n"/>
      <c r="X993" s="26" t="n"/>
      <c r="Y993" s="26" t="n"/>
      <c r="Z993" s="26" t="n"/>
    </row>
    <row r="994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26" t="n"/>
      <c r="K994" s="26" t="n"/>
      <c r="L994" s="26" t="n"/>
      <c r="M994" s="26" t="n"/>
      <c r="N994" s="26" t="n"/>
      <c r="O994" s="26" t="n"/>
      <c r="P994" s="26" t="n"/>
      <c r="Q994" s="26" t="n"/>
      <c r="R994" s="26" t="n"/>
      <c r="S994" s="26" t="n"/>
      <c r="T994" s="26" t="n"/>
      <c r="U994" s="26" t="n"/>
      <c r="V994" s="26" t="n"/>
      <c r="W994" s="26" t="n"/>
      <c r="X994" s="26" t="n"/>
      <c r="Y994" s="26" t="n"/>
      <c r="Z994" s="26" t="n"/>
    </row>
  </sheetData>
  <printOptions horizontalCentered="1" gridLines="1"/>
  <pageMargins left="0.25" right="0.25" top="0.3502057269366529" bottom="0.3041260260239354" header="0" footer="0"/>
  <pageSetup orientation="landscape" paperSize="12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AD99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36.63" customWidth="1" style="56" min="1" max="1"/>
    <col width="9.630000000000001" customWidth="1" style="56" min="2" max="2"/>
    <col width="7.13" customWidth="1" style="56" min="3" max="3"/>
    <col width="13" customWidth="1" style="56" min="4" max="4"/>
    <col width="7.75" customWidth="1" style="56" min="5" max="5"/>
    <col width="19.63" customWidth="1" style="56" min="6" max="6"/>
    <col width="34.5" customWidth="1" style="56" min="7" max="7"/>
    <col width="14.13" customWidth="1" style="56" min="8" max="8"/>
    <col width="40.25" customWidth="1" style="56" min="9" max="9"/>
    <col width="40.63" customWidth="1" style="56" min="10" max="10"/>
    <col width="39.63" customWidth="1" style="56" min="11" max="11"/>
    <col width="18.75" customWidth="1" style="56" min="12" max="12"/>
    <col width="18.5" customWidth="1" style="56" min="13" max="14"/>
    <col width="33.88" customWidth="1" style="56" min="16" max="16"/>
  </cols>
  <sheetData>
    <row r="1">
      <c r="A1" s="46" t="n">
        <v>250</v>
      </c>
      <c r="B1" s="46" t="inlineStr">
        <is>
          <t>ปริมาณตัวทำละลายผงยา (ml)</t>
        </is>
      </c>
      <c r="C1" s="46" t="inlineStr">
        <is>
          <t>total volume</t>
        </is>
      </c>
      <c r="D1" s="46" t="inlineStr">
        <is>
          <t>conc (mg/ml)</t>
        </is>
      </c>
      <c r="E1" s="46" t="inlineStr">
        <is>
          <t>conc. only ตัวเลข mg/ml</t>
        </is>
      </c>
      <c r="F1" s="46" t="inlineStr">
        <is>
          <t>สารน้ำที่ใช้เจือจาง</t>
        </is>
      </c>
      <c r="G1" s="46" t="inlineStr">
        <is>
          <t>administration conc.</t>
        </is>
      </c>
      <c r="H1" s="46" t="inlineStr">
        <is>
          <t>administration conc. ต่ำสุด only ตัวเลข</t>
        </is>
      </c>
      <c r="I1" s="46" t="inlineStr">
        <is>
          <t>administration rate</t>
        </is>
      </c>
      <c r="J1" s="46" t="inlineStr">
        <is>
          <t>*หมายเหตุ</t>
        </is>
      </c>
      <c r="K1" s="46" t="inlineStr">
        <is>
          <t>dose (from sanford guide)</t>
        </is>
      </c>
      <c r="L1" s="46" t="inlineStr">
        <is>
          <t>Minimum dose per Kg</t>
        </is>
      </c>
      <c r="M1" s="46" t="inlineStr">
        <is>
          <t>Maximum dose per Kg</t>
        </is>
      </c>
      <c r="N1" s="46" t="inlineStr">
        <is>
          <t>Divided per day (ครั้ง)</t>
        </is>
      </c>
      <c r="O1" s="40" t="inlineStr">
        <is>
          <t>ความถี่การให้ยา</t>
        </is>
      </c>
      <c r="P1" s="40" t="inlineStr">
        <is>
          <t>อายุ</t>
        </is>
      </c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</row>
    <row r="2">
      <c r="A2" s="46" t="inlineStr">
        <is>
          <t>Adrenaline 1 mg/1ml</t>
        </is>
      </c>
      <c r="B2" s="46" t="n">
        <v>0</v>
      </c>
      <c r="C2" s="46" t="inlineStr">
        <is>
          <t>-</t>
        </is>
      </c>
      <c r="D2" s="46" t="inlineStr">
        <is>
          <t>1 mg/ml (1:1000)</t>
        </is>
      </c>
      <c r="E2" s="46" t="n">
        <v>1</v>
      </c>
      <c r="F2" s="46" t="inlineStr">
        <is>
          <t>D5W D10W NSS*</t>
        </is>
      </c>
      <c r="G2" s="46" t="inlineStr">
        <is>
          <t>infusion max conc 60 mcg/ml</t>
        </is>
      </c>
      <c r="H2" s="46" t="inlineStr">
        <is>
          <t>-</t>
        </is>
      </c>
      <c r="I2" s="46" t="n"/>
      <c r="J2" s="41" t="inlineStr">
        <is>
          <t>NSS (compativle but administration in saline solution alone is not recomeded)</t>
        </is>
      </c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</row>
    <row r="3">
      <c r="A3" s="42" t="inlineStr">
        <is>
          <t>Calcium gluconate 0.45 mEq/1 ml (10 ml/amp)</t>
        </is>
      </c>
      <c r="B3" s="46" t="n">
        <v>0</v>
      </c>
      <c r="C3" s="46" t="inlineStr">
        <is>
          <t>-</t>
        </is>
      </c>
      <c r="D3" s="41" t="inlineStr">
        <is>
          <t>0.45 mEq/ml</t>
        </is>
      </c>
      <c r="E3" s="43" t="n">
        <v>0.45</v>
      </c>
      <c r="F3" s="46" t="inlineStr">
        <is>
          <t>D5W D10W NSS</t>
        </is>
      </c>
      <c r="G3" s="46" t="inlineStr">
        <is>
          <t>conc bolus 10-50 mg/ml conc continuous infusion 5.8-10 mg/ml</t>
        </is>
      </c>
      <c r="H3" s="46" t="n">
        <v>5.8</v>
      </c>
      <c r="I3" s="46" t="inlineStr">
        <is>
          <t xml:space="preserve">max IV drip 100 mg/min, max continuos drip neonate (&lt;1 month): 17-33 mg/kg/hr, &gt;1 month - 17 year: 8-13 mg/kg/hr </t>
        </is>
      </c>
      <c r="J3" s="46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</row>
    <row r="4">
      <c r="A4" s="42" t="inlineStr">
        <is>
          <t>Ciprofloxacin 400 mg/200 ml</t>
        </is>
      </c>
      <c r="B4" s="46" t="n">
        <v>0</v>
      </c>
      <c r="C4" s="46" t="inlineStr">
        <is>
          <t>-</t>
        </is>
      </c>
      <c r="D4" s="46" t="inlineStr">
        <is>
          <t>2 mg/ml</t>
        </is>
      </c>
      <c r="E4" s="46" t="n">
        <v>2</v>
      </c>
      <c r="F4" s="46" t="inlineStr">
        <is>
          <t>D5W D10W NSS 
D5N/2 D5N/4 LRS</t>
        </is>
      </c>
      <c r="G4" s="46" t="inlineStr">
        <is>
          <t xml:space="preserve">0.5-2 mg/ml </t>
        </is>
      </c>
      <c r="H4" s="46" t="n">
        <v>0.5</v>
      </c>
      <c r="I4" s="46" t="inlineStr">
        <is>
          <t>IV drip over 60 min</t>
        </is>
      </c>
      <c r="J4" s="46" t="n"/>
      <c r="K4" s="40" t="inlineStr">
        <is>
          <t>20-30 mg/kg/day (divided q 12 hr)</t>
        </is>
      </c>
      <c r="L4" s="40" t="n">
        <v>20</v>
      </c>
      <c r="M4" s="40" t="n">
        <v>30</v>
      </c>
      <c r="N4" s="40" t="n">
        <v>2</v>
      </c>
      <c r="O4" s="40" t="inlineStr">
        <is>
          <t>ทุก 12 ชั่วโมง</t>
        </is>
      </c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</row>
    <row r="5">
      <c r="A5" s="42" t="inlineStr">
        <is>
          <t>Dexamethasone 4mg/1ml</t>
        </is>
      </c>
      <c r="B5" s="46" t="n">
        <v>0</v>
      </c>
      <c r="C5" s="46" t="inlineStr">
        <is>
          <t>-</t>
        </is>
      </c>
      <c r="D5" s="46" t="inlineStr">
        <is>
          <t>4 mg/ml</t>
        </is>
      </c>
      <c r="E5" s="46" t="n">
        <v>4</v>
      </c>
      <c r="F5" s="46" t="inlineStr">
        <is>
          <t>D5W D10W NSS</t>
        </is>
      </c>
      <c r="G5" s="46" t="inlineStr">
        <is>
          <t>undiluted or diluted to 0.1-1 mg/ml</t>
        </is>
      </c>
      <c r="H5" s="46" t="n">
        <v>0.1</v>
      </c>
      <c r="I5" s="46" t="inlineStr">
        <is>
          <t>-</t>
        </is>
      </c>
      <c r="J5" s="46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</row>
    <row r="6">
      <c r="A6" s="42" t="inlineStr">
        <is>
          <t>DIAZEPAM 10 mg/ 2 ml</t>
        </is>
      </c>
      <c r="B6" s="46" t="n">
        <v>0</v>
      </c>
      <c r="C6" s="46" t="inlineStr">
        <is>
          <t>-</t>
        </is>
      </c>
      <c r="D6" s="46" t="inlineStr">
        <is>
          <t>5 mg/ml</t>
        </is>
      </c>
      <c r="E6" s="46" t="n">
        <v>5</v>
      </c>
      <c r="F6" s="46" t="n"/>
      <c r="G6" s="46" t="n"/>
      <c r="H6" s="46" t="n"/>
      <c r="I6" s="46" t="n"/>
      <c r="J6" s="46" t="n"/>
      <c r="K6" s="40" t="inlineStr">
        <is>
          <t>sedation: 0.05-0.1 mg/kg/dose
seizures 0.2-0.3 mg/kg</t>
        </is>
      </c>
      <c r="L6" s="40" t="n">
        <v>0.2</v>
      </c>
      <c r="M6" s="40" t="n">
        <v>0.3</v>
      </c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</row>
    <row r="7">
      <c r="A7" s="42" t="inlineStr">
        <is>
          <t>Gentamicin 80 mg/2ml</t>
        </is>
      </c>
      <c r="B7" s="46" t="n">
        <v>0</v>
      </c>
      <c r="C7" s="46" t="inlineStr">
        <is>
          <t>-</t>
        </is>
      </c>
      <c r="D7" s="46" t="inlineStr">
        <is>
          <t>40 mg/ml</t>
        </is>
      </c>
      <c r="E7" s="46" t="n">
        <v>40</v>
      </c>
      <c r="F7" s="46" t="inlineStr">
        <is>
          <t>D5W D10W NSS</t>
        </is>
      </c>
      <c r="G7" s="46" t="inlineStr">
        <is>
          <t>1 mg/ml or 2 mg/ml or 10 mg/ml or 10 mg/ml</t>
        </is>
      </c>
      <c r="H7" s="46" t="n">
        <v>1</v>
      </c>
      <c r="I7" s="46" t="inlineStr">
        <is>
          <t>IV drip in 30 min</t>
        </is>
      </c>
      <c r="J7" s="46" t="n"/>
      <c r="K7" s="40" t="inlineStr">
        <is>
          <t>- 2.5 (divided q 8 hr)
- 5-7 mg/kg/day) OD
- max 105 mg/day</t>
        </is>
      </c>
      <c r="L7" s="40" t="n">
        <v>5</v>
      </c>
      <c r="M7" s="40" t="n">
        <v>7</v>
      </c>
      <c r="N7" s="40" t="n">
        <v>3</v>
      </c>
      <c r="O7" s="40" t="inlineStr">
        <is>
          <t>ทุก 8 ชั่วโมง</t>
        </is>
      </c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</row>
    <row r="8">
      <c r="A8" s="46" t="inlineStr">
        <is>
          <t>Levetiracetam 100 mg/1ml (5 ml/vial)</t>
        </is>
      </c>
      <c r="B8" s="46" t="n">
        <v>0</v>
      </c>
      <c r="C8" s="46" t="inlineStr">
        <is>
          <t>-</t>
        </is>
      </c>
      <c r="D8" s="46" t="inlineStr">
        <is>
          <t>100 mg/1ml</t>
        </is>
      </c>
      <c r="E8" s="46" t="n">
        <v>100</v>
      </c>
      <c r="F8" s="46" t="inlineStr">
        <is>
          <t>D5W NSS LRS</t>
        </is>
      </c>
      <c r="G8" s="46" t="inlineStr">
        <is>
          <t>max 15 mg/ml</t>
        </is>
      </c>
      <c r="H8" s="46" t="n">
        <v>15</v>
      </c>
      <c r="I8" s="46" t="inlineStr">
        <is>
          <t>IV drip over 15 min</t>
        </is>
      </c>
      <c r="J8" s="46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</row>
    <row r="9">
      <c r="A9" s="46" t="inlineStr">
        <is>
          <t>Methylprednisolone 40 mg/1 mg (single dose vial)</t>
        </is>
      </c>
      <c r="B9" s="46" t="n">
        <v>0</v>
      </c>
      <c r="C9" s="46" t="inlineStr">
        <is>
          <t>-</t>
        </is>
      </c>
      <c r="D9" s="46" t="inlineStr">
        <is>
          <t>40 mg/ml</t>
        </is>
      </c>
      <c r="E9" s="46" t="n">
        <v>40</v>
      </c>
      <c r="F9" s="46" t="inlineStr">
        <is>
          <t>D5W NSS  D5S D5N/2 LRS</t>
        </is>
      </c>
      <c r="G9" s="46" t="inlineStr">
        <is>
          <t>IV push over several min, IV infusion high dose 15-30 mg/kg or 500-1000 mg per dose to 2.5-20 mg/ml</t>
        </is>
      </c>
      <c r="H9" s="46" t="n">
        <v>2.5</v>
      </c>
      <c r="I9" s="46" t="inlineStr">
        <is>
          <t>IV drip over 30 min to 3 hr</t>
        </is>
      </c>
      <c r="J9" s="46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</row>
    <row r="10">
      <c r="A10" s="42" t="inlineStr">
        <is>
          <t>Metronidazole 500 mg/100 ml</t>
        </is>
      </c>
      <c r="B10" s="46" t="n">
        <v>0</v>
      </c>
      <c r="C10" s="46" t="inlineStr">
        <is>
          <t>-</t>
        </is>
      </c>
      <c r="D10" s="46" t="inlineStr">
        <is>
          <t>5 mg/ml</t>
        </is>
      </c>
      <c r="E10" s="46" t="n">
        <v>5</v>
      </c>
      <c r="F10" s="46" t="inlineStr">
        <is>
          <t>D5W NSS</t>
        </is>
      </c>
      <c r="G10" s="46" t="inlineStr">
        <is>
          <t>max 8 mg/ml</t>
        </is>
      </c>
      <c r="H10" s="46" t="n">
        <v>8</v>
      </c>
      <c r="I10" s="46" t="inlineStr">
        <is>
          <t>IV drip over 30-60 min</t>
        </is>
      </c>
      <c r="J10" s="46" t="n"/>
      <c r="K10" s="40" t="inlineStr">
        <is>
          <t>22.5-40 mg/kg/day (divided q 6-8)</t>
        </is>
      </c>
      <c r="L10" s="40" t="n">
        <v>22.5</v>
      </c>
      <c r="M10" s="40" t="n">
        <v>40</v>
      </c>
      <c r="N10" s="40" t="n">
        <v>3</v>
      </c>
      <c r="O10" s="40" t="inlineStr">
        <is>
          <t>ทุก 8 ชั่วโมง</t>
        </is>
      </c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</row>
    <row r="11">
      <c r="A11" s="40" t="inlineStr">
        <is>
          <t>ONDANSETRON 4 mg /2 ml.</t>
        </is>
      </c>
      <c r="B11" s="46" t="n">
        <v>0</v>
      </c>
      <c r="C11" s="46" t="inlineStr">
        <is>
          <t>-</t>
        </is>
      </c>
      <c r="D11" s="46" t="inlineStr">
        <is>
          <t>2 mg/ml</t>
        </is>
      </c>
      <c r="E11" s="46" t="n">
        <v>2</v>
      </c>
      <c r="F11" s="46" t="n"/>
      <c r="G11" s="46" t="n"/>
      <c r="H11" s="46" t="n"/>
      <c r="I11" s="46" t="n"/>
      <c r="J11" s="46" t="n"/>
      <c r="K11" s="40" t="inlineStr">
        <is>
          <t>0.15 mg/kg/dose</t>
        </is>
      </c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</row>
    <row r="12">
      <c r="A12" s="42" t="inlineStr">
        <is>
          <t>Phenobarbital 200 mg/1 ml</t>
        </is>
      </c>
      <c r="B12" s="46" t="n">
        <v>0</v>
      </c>
      <c r="C12" s="46" t="inlineStr">
        <is>
          <t>-</t>
        </is>
      </c>
      <c r="D12" s="46" t="inlineStr">
        <is>
          <t>200 mg/ml</t>
        </is>
      </c>
      <c r="E12" s="46" t="n">
        <v>200</v>
      </c>
      <c r="F12" s="46" t="inlineStr">
        <is>
          <t>D5W D10W NSS</t>
        </is>
      </c>
      <c r="G12" s="46" t="inlineStr">
        <is>
          <t>standard conc 10 mg/ml and 65 mg/ml</t>
        </is>
      </c>
      <c r="H12" s="46" t="n">
        <v>10</v>
      </c>
      <c r="I12" s="46" t="inlineStr">
        <is>
          <t>IV drip 15- 30 min</t>
        </is>
      </c>
      <c r="J12" s="46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</row>
    <row r="13">
      <c r="A13" s="42" t="inlineStr">
        <is>
          <t>Phenytoin 250 mg/5ml</t>
        </is>
      </c>
      <c r="B13" s="46" t="n">
        <v>0</v>
      </c>
      <c r="C13" s="46" t="inlineStr">
        <is>
          <t>-</t>
        </is>
      </c>
      <c r="D13" s="46" t="inlineStr">
        <is>
          <t>50 mg/ml</t>
        </is>
      </c>
      <c r="E13" s="46" t="n">
        <v>50</v>
      </c>
      <c r="F13" s="45" t="inlineStr">
        <is>
          <t>NSS only</t>
        </is>
      </c>
      <c r="G13" s="46" t="inlineStr">
        <is>
          <t>IV infusion not less than 5 mg/ml</t>
        </is>
      </c>
      <c r="H13" s="46" t="n">
        <v>5</v>
      </c>
      <c r="I13" s="46" t="inlineStr">
        <is>
          <t>IV drip in 15-30 min</t>
        </is>
      </c>
      <c r="J13" s="46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</row>
    <row r="14">
      <c r="A14" s="42" t="inlineStr">
        <is>
          <t>Potassium chloride 40 mEq/20 ml</t>
        </is>
      </c>
      <c r="B14" s="46" t="n">
        <v>0</v>
      </c>
      <c r="C14" s="46" t="inlineStr">
        <is>
          <t>-</t>
        </is>
      </c>
      <c r="D14" s="46" t="inlineStr">
        <is>
          <t>2 mEq/ml</t>
        </is>
      </c>
      <c r="E14" s="46" t="n">
        <v>2</v>
      </c>
      <c r="F14" s="46" t="inlineStr">
        <is>
          <t>D5W D10W NSS D5N/2 D5N/4 LRS, Acetar</t>
        </is>
      </c>
      <c r="G14" s="46" t="inlineStr">
        <is>
          <t xml:space="preserve">max. peripheral infusion 60-80 mEq/L max. central line infusion 200 mEq/L </t>
        </is>
      </c>
      <c r="H14" s="46" t="n"/>
      <c r="I14" s="46" t="inlineStr">
        <is>
          <t>max 1 mEq/kg/hr or 40 mEq/hr</t>
        </is>
      </c>
      <c r="J14" s="46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</row>
    <row r="15">
      <c r="A15" s="42" t="inlineStr">
        <is>
          <t>Sodium valproate 400 mg/4ml</t>
        </is>
      </c>
      <c r="B15" s="46" t="n">
        <v>0</v>
      </c>
      <c r="C15" s="46" t="inlineStr">
        <is>
          <t>-</t>
        </is>
      </c>
      <c r="D15" s="46" t="inlineStr">
        <is>
          <t>100 mg/ml</t>
        </is>
      </c>
      <c r="E15" s="46" t="n">
        <v>100</v>
      </c>
      <c r="F15" s="46" t="inlineStr">
        <is>
          <t>D5W NSS LRS</t>
        </is>
      </c>
      <c r="G15" s="46" t="n"/>
      <c r="H15" s="46" t="n"/>
      <c r="I15" s="46" t="inlineStr">
        <is>
          <t>IV drip max 20 mg/min over 60 min</t>
        </is>
      </c>
      <c r="J15" s="46" t="inlineStr">
        <is>
          <t>เจือจางในสารน้ำ อย่างน้อย 50 ml</t>
        </is>
      </c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</row>
    <row r="16">
      <c r="A16" s="42" t="inlineStr">
        <is>
          <t>Amoxy-clave 1.2 g</t>
        </is>
      </c>
      <c r="B16" s="46" t="inlineStr">
        <is>
          <t>NSS,SWI 19.1 ml</t>
        </is>
      </c>
      <c r="C16" s="46" t="inlineStr">
        <is>
          <t>20 ml</t>
        </is>
      </c>
      <c r="D16" s="46" t="inlineStr">
        <is>
          <t>50 mg/ml</t>
        </is>
      </c>
      <c r="E16" s="46" t="n">
        <v>50</v>
      </c>
      <c r="F16" s="46" t="inlineStr">
        <is>
          <t>NSS</t>
        </is>
      </c>
      <c r="G16" s="46" t="inlineStr">
        <is>
          <t xml:space="preserve">10-20 mg of amoxicillin/ml </t>
        </is>
      </c>
      <c r="H16" s="46" t="n">
        <v>10</v>
      </c>
      <c r="I16" s="46" t="inlineStr">
        <is>
          <t>IV drip in 30-40 min</t>
        </is>
      </c>
      <c r="J16" s="46" t="n"/>
      <c r="K16" s="40" t="inlineStr">
        <is>
          <t xml:space="preserve">&lt;3 mo, wt. &lt;4 kg: 25 mg/kg q 12 hr 
&lt;3 mo, wt. &gt;=4 kg: 25 mg/kg q 8 hr 
&gt;=3 mo, wt. &lt;40 kg: 25 mg/kg q 8 hr 
&gt;=3 mo, wt. &lt;40 kg:  1000/200 q 8 hr </t>
        </is>
      </c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</row>
    <row r="17">
      <c r="A17" s="42" t="inlineStr">
        <is>
          <t>Ampicillin 1000 mg</t>
        </is>
      </c>
      <c r="B17" s="46" t="inlineStr">
        <is>
          <t>NSS,SWI 7.4 ml</t>
        </is>
      </c>
      <c r="C17" s="46" t="inlineStr">
        <is>
          <t>10 ml</t>
        </is>
      </c>
      <c r="D17" s="46" t="inlineStr">
        <is>
          <t>100 mg/ml</t>
        </is>
      </c>
      <c r="E17" s="46" t="n">
        <v>100</v>
      </c>
      <c r="F17" s="46" t="inlineStr">
        <is>
          <t>D5W NSS D5N/2 LRS</t>
        </is>
      </c>
      <c r="G17" s="46" t="inlineStr">
        <is>
          <t>recommened 30,40,50,100 mg/ml</t>
        </is>
      </c>
      <c r="H17" s="46" t="n">
        <v>30</v>
      </c>
      <c r="I17" s="46" t="inlineStr">
        <is>
          <t>IV drip in 30 min</t>
        </is>
      </c>
      <c r="J17" s="46" t="n"/>
      <c r="K17" s="40" t="inlineStr">
        <is>
          <t>- 200 mg/kg/day (divided q 6 hr)
- meningitis 300-400 mg/kg/day (divided q 4 hr)</t>
        </is>
      </c>
      <c r="L17" s="40" t="n">
        <v>200</v>
      </c>
      <c r="M17" s="40" t="n"/>
      <c r="N17" s="40" t="n">
        <v>4</v>
      </c>
      <c r="O17" s="40" t="inlineStr">
        <is>
          <t>ทุก 6 ชั่วโมง</t>
        </is>
      </c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</row>
    <row r="18">
      <c r="A18" s="42" t="inlineStr">
        <is>
          <t>Ampicillin 500 mg</t>
        </is>
      </c>
      <c r="B18" s="46" t="inlineStr">
        <is>
          <t>NSS,SWI 5 ml</t>
        </is>
      </c>
      <c r="C18" s="46" t="inlineStr">
        <is>
          <t>5 ml</t>
        </is>
      </c>
      <c r="D18" s="46" t="inlineStr">
        <is>
          <t>100 mg/ml</t>
        </is>
      </c>
      <c r="E18" s="46" t="n">
        <v>100</v>
      </c>
      <c r="F18" s="46" t="inlineStr">
        <is>
          <t>D5W</t>
        </is>
      </c>
      <c r="G18" s="46" t="inlineStr">
        <is>
          <t>recommened 30,40,50,100 mg/ml</t>
        </is>
      </c>
      <c r="H18" s="46" t="n">
        <v>30</v>
      </c>
      <c r="I18" s="46" t="inlineStr">
        <is>
          <t>IV drip in 30 min</t>
        </is>
      </c>
      <c r="J18" s="46" t="n"/>
      <c r="K18" s="40" t="inlineStr">
        <is>
          <t>-200 mg/kg/day (divided q 6 hr)
-meningitis 300-400 mg/kg/day (divided q 4 hr)</t>
        </is>
      </c>
      <c r="L18" s="40" t="n">
        <v>200</v>
      </c>
      <c r="M18" s="40" t="n"/>
      <c r="N18" s="40" t="n">
        <v>4</v>
      </c>
      <c r="O18" s="40" t="inlineStr">
        <is>
          <t>ทุก 6 ชั่วโมง</t>
        </is>
      </c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</row>
    <row r="19">
      <c r="A19" s="42" t="inlineStr">
        <is>
          <t>Cefazolin 1 g</t>
        </is>
      </c>
      <c r="B19" s="46" t="inlineStr">
        <is>
          <t>SWI 4.5 ml</t>
        </is>
      </c>
      <c r="C19" s="46" t="inlineStr">
        <is>
          <t>5 ml</t>
        </is>
      </c>
      <c r="D19" s="46" t="inlineStr">
        <is>
          <t>200 mg/ml</t>
        </is>
      </c>
      <c r="E19" s="46" t="n">
        <v>200</v>
      </c>
      <c r="F19" s="46" t="inlineStr">
        <is>
          <t>NSS D5W D10W LRS</t>
        </is>
      </c>
      <c r="G19" s="46" t="inlineStr">
        <is>
          <t>IV bolus  100 mg/ml, IV infusion 5-20 mg/ml</t>
        </is>
      </c>
      <c r="H19" s="46" t="n">
        <v>5</v>
      </c>
      <c r="I19" s="46" t="inlineStr">
        <is>
          <t>IV bolus over 3-5 min or IV drip 30-60 min</t>
        </is>
      </c>
      <c r="J19" s="46" t="n"/>
      <c r="K19" s="40" t="inlineStr">
        <is>
          <t>-50-150 mg/kg/day (divided q 6-8 hr)
-max 6 gm/day</t>
        </is>
      </c>
      <c r="L19" s="40" t="n">
        <v>50</v>
      </c>
      <c r="M19" s="40" t="n">
        <v>150</v>
      </c>
      <c r="N19" s="40" t="n">
        <v>4</v>
      </c>
      <c r="O19" s="40" t="inlineStr">
        <is>
          <t>ทุก 6 ชั่วโมง</t>
        </is>
      </c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</row>
    <row r="20">
      <c r="A20" s="42" t="inlineStr">
        <is>
          <t>Cefotaxime 1 g</t>
        </is>
      </c>
      <c r="B20" s="46" t="inlineStr">
        <is>
          <t>SWI 9.6 ml</t>
        </is>
      </c>
      <c r="C20" s="46" t="inlineStr">
        <is>
          <t>10 ml</t>
        </is>
      </c>
      <c r="D20" s="46" t="inlineStr">
        <is>
          <t>100 mg/ml</t>
        </is>
      </c>
      <c r="E20" s="46" t="n">
        <v>100</v>
      </c>
      <c r="F20" s="46" t="inlineStr">
        <is>
          <t>NSS D5W D10W</t>
        </is>
      </c>
      <c r="G20" s="46" t="inlineStr">
        <is>
          <t>IV bolus 50-100 mg/ml, IV infusion 10-40 mg/ml</t>
        </is>
      </c>
      <c r="H20" s="46" t="n">
        <v>10</v>
      </c>
      <c r="I20" s="46" t="inlineStr">
        <is>
          <t>IV drip in 30 min</t>
        </is>
      </c>
      <c r="J20" s="46" t="n"/>
      <c r="K20" s="40" t="inlineStr">
        <is>
          <t>Standard
0-7 day: 100 mg/kg/day (divided q 12 hr)
8-28 day: 150 mg/kg/day (divided q 8 hr)
&gt;28 day: 150-200 mg/kg/day (divided q 6-8 hr)
Meningitis
0-7 day: 100-150 mg/kg/day (divided q 8-12 hr)
8-28 day: 150-200 mg/kg/day (divided q 6-8 ht)
&gt;28 day: 225-300 mg/kg/day (divided q 6-8 ht)</t>
        </is>
      </c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</row>
    <row r="21">
      <c r="A21" s="42" t="inlineStr">
        <is>
          <t>Ceftazidime 1 g</t>
        </is>
      </c>
      <c r="B21" s="46" t="inlineStr">
        <is>
          <t>SWI 9  ml</t>
        </is>
      </c>
      <c r="C21" s="46" t="inlineStr">
        <is>
          <t>10 ml</t>
        </is>
      </c>
      <c r="D21" s="46" t="inlineStr">
        <is>
          <t>100 mg/ml</t>
        </is>
      </c>
      <c r="E21" s="46" t="n">
        <v>100</v>
      </c>
      <c r="F21" s="46" t="inlineStr">
        <is>
          <t>NSS D5W D10W</t>
        </is>
      </c>
      <c r="G21" s="46" t="inlineStr">
        <is>
          <t>1-40 mg/ml</t>
        </is>
      </c>
      <c r="H21" s="46" t="n">
        <v>20</v>
      </c>
      <c r="I21" s="46" t="inlineStr">
        <is>
          <t>IV drip over 30-60 min</t>
        </is>
      </c>
      <c r="J21" s="46" t="inlineStr">
        <is>
          <t>น้อยกว่า 1 g เจือจางในสารน้ำ 30-50 ml, มากกว่า 1 g เจือจางในสารน้ำ 60-100 ml</t>
        </is>
      </c>
      <c r="K21" s="40" t="inlineStr">
        <is>
          <t>-150-200 mg/kg/day divided q 8 hr
-CF: 300 mg2kg/day divided q 8 hr</t>
        </is>
      </c>
      <c r="L21" s="40" t="n">
        <v>150</v>
      </c>
      <c r="M21" s="40" t="n">
        <v>200</v>
      </c>
      <c r="N21" s="40" t="n">
        <v>3</v>
      </c>
      <c r="O21" s="40" t="inlineStr">
        <is>
          <t>ทุก 8 ชั่วโมง</t>
        </is>
      </c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</row>
    <row r="22">
      <c r="A22" s="42" t="inlineStr">
        <is>
          <t>Ceftriaxone 1 g</t>
        </is>
      </c>
      <c r="B22" s="46" t="inlineStr">
        <is>
          <t>SWI 9.5 ml</t>
        </is>
      </c>
      <c r="C22" s="46" t="inlineStr">
        <is>
          <t>10 ml</t>
        </is>
      </c>
      <c r="D22" s="46" t="inlineStr">
        <is>
          <t>100 mg/ml</t>
        </is>
      </c>
      <c r="E22" s="46" t="n">
        <v>100</v>
      </c>
      <c r="F22" s="46" t="inlineStr">
        <is>
          <t>NSS D5W D10W</t>
        </is>
      </c>
      <c r="G22" s="46" t="inlineStr">
        <is>
          <t>10-40 mg/ml (or lower if necessary)</t>
        </is>
      </c>
      <c r="H22" s="46" t="n">
        <v>10</v>
      </c>
      <c r="I22" s="46" t="inlineStr">
        <is>
          <t>&lt;1 g IV drip in 30 min, &gt; 1 g  IV drip in 60 min</t>
        </is>
      </c>
      <c r="J22" s="46" t="inlineStr">
        <is>
          <t>น้อยกว่า 1 g เจือจางในสารน้ำ 30-50 ml, มากกว่า 1 g เจือจางในสารน้ำ 60-100 ml</t>
        </is>
      </c>
      <c r="K22" s="40" t="inlineStr">
        <is>
          <t>-50-100 mg/kg q 24 hr
-meningitis: 50 mg/kg q 12 hr</t>
        </is>
      </c>
      <c r="L22" s="40" t="n">
        <v>50</v>
      </c>
      <c r="M22" s="40" t="n">
        <v>100</v>
      </c>
      <c r="N22" s="40" t="n">
        <v>1</v>
      </c>
      <c r="O22" s="40" t="inlineStr">
        <is>
          <t>ทุก 8 ชั่วโมง</t>
        </is>
      </c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</row>
    <row r="23">
      <c r="A23" s="42" t="inlineStr">
        <is>
          <t>Cloxacillin 1 g</t>
        </is>
      </c>
      <c r="B23" s="46" t="inlineStr">
        <is>
          <t>IV bolus SWI 9.6 ml, IV infusion SWI 3.4 ml</t>
        </is>
      </c>
      <c r="C23" s="46" t="inlineStr">
        <is>
          <t>IV bolus 10 ml, IV infusion 4 ml</t>
        </is>
      </c>
      <c r="D23" s="46" t="inlineStr">
        <is>
          <t>IV bolus 100 mg/ml, IV infusion 250 mg/ml</t>
        </is>
      </c>
      <c r="E23" s="46" t="n">
        <v>250</v>
      </c>
      <c r="F23" s="46" t="inlineStr">
        <is>
          <t>NSS D5W*</t>
        </is>
      </c>
      <c r="G23" s="46" t="inlineStr">
        <is>
          <t>IV push 50 or 10 mg/ml, IV infusion +solution to 100 ml</t>
        </is>
      </c>
      <c r="H23" s="46" t="n"/>
      <c r="I23" s="46" t="inlineStr">
        <is>
          <t>IV bolus over 2-4 min, IV drip over 30-40 min</t>
        </is>
      </c>
      <c r="J23" s="47" t="inlineStr">
        <is>
          <t xml:space="preserve">ให้ add  NSS to 100 ml 
***ใน D5W โอกาสเกิด phlebitis มากกว่า </t>
        </is>
      </c>
      <c r="K23" s="40" t="inlineStr">
        <is>
          <t>-50-200 mg/kg/day divided q 6 hr</t>
        </is>
      </c>
      <c r="L23" s="40" t="n">
        <v>50</v>
      </c>
      <c r="M23" s="40" t="n">
        <v>200</v>
      </c>
      <c r="N23" s="40" t="n">
        <v>4</v>
      </c>
      <c r="O23" s="40" t="inlineStr">
        <is>
          <t>ทุก 6 ชั่วโมง</t>
        </is>
      </c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</row>
    <row r="24">
      <c r="A24" s="46" t="inlineStr">
        <is>
          <t>Colistin 150 mg</t>
        </is>
      </c>
      <c r="B24" s="46" t="inlineStr">
        <is>
          <t>SWI 2 ml</t>
        </is>
      </c>
      <c r="C24" s="46" t="inlineStr">
        <is>
          <t>2 ml</t>
        </is>
      </c>
      <c r="D24" s="46" t="inlineStr">
        <is>
          <t>75 mg/ml</t>
        </is>
      </c>
      <c r="E24" s="46" t="n">
        <v>75</v>
      </c>
      <c r="F24" s="46" t="inlineStr">
        <is>
          <t>NSS, D5W, D5S, D10W, SWI</t>
        </is>
      </c>
      <c r="G24" s="46" t="inlineStr">
        <is>
          <t>75 mg/ml</t>
        </is>
      </c>
      <c r="H24" s="46" t="n">
        <v>75</v>
      </c>
      <c r="I24" s="46" t="inlineStr">
        <is>
          <t>IV drip 30-60 min</t>
        </is>
      </c>
      <c r="J24" s="46" t="n"/>
      <c r="K24" s="40" t="inlineStr">
        <is>
          <t>-2.5-5 mg/kg/day divided q 6-12 hr
-CF: 3-8 mg/kg/day divided q 8 hr</t>
        </is>
      </c>
      <c r="L24" s="40" t="n">
        <v>2.5</v>
      </c>
      <c r="M24" s="40" t="n">
        <v>5</v>
      </c>
      <c r="N24" s="40" t="n">
        <v>2</v>
      </c>
      <c r="O24" s="40" t="inlineStr">
        <is>
          <t>ทุก 12 ชั่วโมง</t>
        </is>
      </c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</row>
    <row r="25">
      <c r="A25" s="42" t="inlineStr">
        <is>
          <t>Hydrocortisone 100 mg</t>
        </is>
      </c>
      <c r="B25" s="46" t="inlineStr">
        <is>
          <t>SWI 1.8 ml</t>
        </is>
      </c>
      <c r="C25" s="46" t="inlineStr">
        <is>
          <t>2 ml</t>
        </is>
      </c>
      <c r="D25" s="46" t="inlineStr">
        <is>
          <t>50 mg/ml</t>
        </is>
      </c>
      <c r="E25" s="46" t="n">
        <v>50</v>
      </c>
      <c r="F25" s="46" t="inlineStr">
        <is>
          <t>NSS D5W</t>
        </is>
      </c>
      <c r="G25" s="46" t="inlineStr">
        <is>
          <t>IV infusion 1 mg/ml, fluid-restricted pt. IV bolus up to 3000 mg + 50 ml and IV infusion 1,2,5 mg/ml</t>
        </is>
      </c>
      <c r="H25" s="46" t="n">
        <v>1</v>
      </c>
      <c r="I25" s="46" t="inlineStr">
        <is>
          <t xml:space="preserve">IV bolus 30 sec. (100 mg) to 10 min (500 mg and more), </t>
        </is>
      </c>
      <c r="J25" s="46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</row>
    <row r="26">
      <c r="A26" s="42" t="inlineStr">
        <is>
          <t>Meropenem 1 g</t>
        </is>
      </c>
      <c r="B26" s="46" t="inlineStr">
        <is>
          <t>SWI 19 ml</t>
        </is>
      </c>
      <c r="C26" s="46" t="inlineStr">
        <is>
          <t>20 ml</t>
        </is>
      </c>
      <c r="D26" s="46" t="inlineStr">
        <is>
          <t>50 mg/ml</t>
        </is>
      </c>
      <c r="E26" s="46" t="n">
        <v>50</v>
      </c>
      <c r="F26" s="46" t="inlineStr">
        <is>
          <t>NSS D5W D10W</t>
        </is>
      </c>
      <c r="G26" s="46" t="inlineStr">
        <is>
          <t>1-20 mg/ml</t>
        </is>
      </c>
      <c r="H26" s="46" t="n">
        <v>4</v>
      </c>
      <c r="I26" s="46" t="inlineStr">
        <is>
          <t>IV drip over 30 min</t>
        </is>
      </c>
      <c r="J26" s="46" t="n"/>
      <c r="K26" s="40" t="inlineStr">
        <is>
          <t>-60 mg/kg/day divided q 8 hr
-Meninigitis 120 mg/kg/day divided q 8 hr</t>
        </is>
      </c>
      <c r="L26" s="40" t="n">
        <v>60</v>
      </c>
      <c r="M26" s="40" t="n"/>
      <c r="N26" s="40" t="n">
        <v>3</v>
      </c>
      <c r="O26" s="40" t="inlineStr">
        <is>
          <t>ทุก 8 ชั่วโมง</t>
        </is>
      </c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</row>
    <row r="27">
      <c r="A27" s="46" t="inlineStr">
        <is>
          <t>Omeprazole 40 mg</t>
        </is>
      </c>
      <c r="B27" s="46" t="inlineStr">
        <is>
          <t>SWI 10 ml</t>
        </is>
      </c>
      <c r="C27" s="46" t="inlineStr">
        <is>
          <t>-</t>
        </is>
      </c>
      <c r="D27" s="46" t="inlineStr">
        <is>
          <t>4 mg/ml</t>
        </is>
      </c>
      <c r="E27" s="46" t="n">
        <v>4</v>
      </c>
      <c r="F27" s="46" t="inlineStr">
        <is>
          <t>NSS</t>
        </is>
      </c>
      <c r="G27" s="46" t="inlineStr">
        <is>
          <t>direct IV or dilute 50-100 ml  iv infusion</t>
        </is>
      </c>
      <c r="H27" s="46" t="inlineStr">
        <is>
          <t>-</t>
        </is>
      </c>
      <c r="I27" s="46" t="inlineStr">
        <is>
          <t>direct IV 40 mg over 5 min  or IV drip 20-30 min</t>
        </is>
      </c>
      <c r="J27" s="41" t="inlineStr">
        <is>
          <t>infusion เจือจางในสารน้ำ 50-100 ml</t>
        </is>
      </c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</row>
    <row r="28">
      <c r="A28" s="48" t="inlineStr">
        <is>
          <t>Penicillin G Sodium 5 MU</t>
        </is>
      </c>
      <c r="B28" s="46" t="inlineStr">
        <is>
          <t>SWI 8 ml</t>
        </is>
      </c>
      <c r="C28" s="46" t="inlineStr">
        <is>
          <t>10 ml</t>
        </is>
      </c>
      <c r="D28" s="46" t="inlineStr">
        <is>
          <t>500,000 unit/ml</t>
        </is>
      </c>
      <c r="E28" s="46" t="n">
        <v>500000</v>
      </c>
      <c r="F28" s="46" t="inlineStr">
        <is>
          <t>NSS D5W</t>
        </is>
      </c>
      <c r="G28" s="46" t="inlineStr">
        <is>
          <t>50,000-100,000 unit/ml (in neonate 25,000 unit/ml has been used)</t>
        </is>
      </c>
      <c r="H28" s="46" t="n">
        <v>50000</v>
      </c>
      <c r="I28" s="46" t="inlineStr">
        <is>
          <t>IV drip : add solution up to 30 ml drip over 15-30 min</t>
        </is>
      </c>
      <c r="J28" s="46" t="n"/>
      <c r="K28" s="46" t="inlineStr">
        <is>
          <t>-100,000 - 300,000 unit/kg/day divided q 4-6 hr
-CNS 300,000 - 400,000 unit/kg/day divied q 4 hr
-meningitis
&lt;= 7 day: 450,000 unit/kg/day divied q 8 hr
&gt;7 day: 500,000 unit/kg/day divied q 6 hr</t>
        </is>
      </c>
      <c r="L28" s="40" t="n">
        <v>100000</v>
      </c>
      <c r="M28" s="40" t="n">
        <v>300000</v>
      </c>
      <c r="N28" s="40" t="n">
        <v>4</v>
      </c>
      <c r="O28" s="40" t="inlineStr">
        <is>
          <t>ทุก 6 ชั่วโมง</t>
        </is>
      </c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</row>
    <row r="29">
      <c r="A29" s="42" t="inlineStr">
        <is>
          <t>Piperacillin+tazobactam 4.5 g</t>
        </is>
      </c>
      <c r="B29" s="46" t="inlineStr">
        <is>
          <t>SWI 20 ML</t>
        </is>
      </c>
      <c r="C29" s="46" t="inlineStr">
        <is>
          <t>-</t>
        </is>
      </c>
      <c r="D29" s="46" t="inlineStr">
        <is>
          <t>180 mg/mL</t>
        </is>
      </c>
      <c r="E29" s="49" t="n">
        <v>180</v>
      </c>
      <c r="F29" s="46" t="inlineStr">
        <is>
          <t>NSS D5W</t>
        </is>
      </c>
      <c r="G29" s="46" t="inlineStr">
        <is>
          <t xml:space="preserve">20-80 mg/ml of piperacillin </t>
        </is>
      </c>
      <c r="H29" s="46" t="n">
        <v>20</v>
      </c>
      <c r="I29" s="46" t="inlineStr">
        <is>
          <t>IV drip over 30 min</t>
        </is>
      </c>
      <c r="J29" s="46" t="n"/>
      <c r="K29" s="40" t="inlineStr">
        <is>
          <t>400 mg/kg/day divided q 6 hr</t>
        </is>
      </c>
      <c r="L29" s="46" t="n">
        <v>400</v>
      </c>
      <c r="M29" s="40" t="n"/>
      <c r="N29" s="40" t="n">
        <v>4</v>
      </c>
      <c r="O29" s="40" t="inlineStr">
        <is>
          <t>ทุก 6 ชั่วโมง</t>
        </is>
      </c>
      <c r="P29" s="40" t="n"/>
      <c r="Q29" s="40" t="n"/>
      <c r="R29" s="40" t="n"/>
      <c r="S29" s="46" t="inlineStr">
        <is>
          <t>piperacillin 180 mg/ml, tazobactam 22.5 mg/ml (after recon. conc.= 202.5 mg/mL)</t>
        </is>
      </c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</row>
    <row r="30">
      <c r="A30" s="42" t="inlineStr">
        <is>
          <t>Vancomycin 500 mg</t>
        </is>
      </c>
      <c r="B30" s="50" t="inlineStr">
        <is>
          <t>SWI 10 ml</t>
        </is>
      </c>
      <c r="C30" s="46" t="inlineStr">
        <is>
          <t>-</t>
        </is>
      </c>
      <c r="D30" s="46" t="inlineStr">
        <is>
          <t>50 mg/ml</t>
        </is>
      </c>
      <c r="E30" s="46" t="n">
        <v>50</v>
      </c>
      <c r="F30" s="46" t="inlineStr">
        <is>
          <t>NSS D5W</t>
        </is>
      </c>
      <c r="G30" s="46" t="inlineStr">
        <is>
          <t>5 mg/ml</t>
        </is>
      </c>
      <c r="H30" s="46" t="n">
        <v>5</v>
      </c>
      <c r="I30" s="46" t="inlineStr">
        <is>
          <t>max rate 10 mg/min</t>
        </is>
      </c>
      <c r="J30" s="46" t="n"/>
      <c r="K30" s="40" t="inlineStr">
        <is>
          <t>60-80  mg/kg/day divided q 6 hr</t>
        </is>
      </c>
      <c r="L30" s="40" t="n">
        <v>60</v>
      </c>
      <c r="M30" s="40" t="n">
        <v>80</v>
      </c>
      <c r="N30" s="40" t="n">
        <v>4</v>
      </c>
      <c r="O30" s="40" t="inlineStr">
        <is>
          <t>ทุก 6 ชั่วโมง</t>
        </is>
      </c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</row>
    <row r="31">
      <c r="A31" s="40" t="inlineStr">
        <is>
          <t>Acyclovir 250 mg</t>
        </is>
      </c>
      <c r="B31" s="46" t="inlineStr">
        <is>
          <t>SWI 10 ML</t>
        </is>
      </c>
      <c r="C31" s="40" t="inlineStr">
        <is>
          <t>-</t>
        </is>
      </c>
      <c r="D31" s="40" t="inlineStr">
        <is>
          <t>25 mg/ml</t>
        </is>
      </c>
      <c r="E31" s="40" t="n">
        <v>25</v>
      </c>
      <c r="F31" s="40" t="inlineStr">
        <is>
          <t>NSS</t>
        </is>
      </c>
      <c r="G31" s="40" t="inlineStr">
        <is>
          <t>&lt;5</t>
        </is>
      </c>
      <c r="H31" s="40" t="n">
        <v>4</v>
      </c>
      <c r="I31" s="51" t="inlineStr">
        <is>
          <t>IV drip conc &lt;5 mg/ml drip over 1 hr</t>
        </is>
      </c>
      <c r="J31" s="51" t="inlineStr">
        <is>
          <t>IV drip conc &lt;5 mg/ml</t>
        </is>
      </c>
      <c r="K31" s="40" t="inlineStr">
        <is>
          <t>-60 mg/kg/day divided q 8 hr
-HSV encephalitis &gt;3 MO 30-45 mg/kg/day divided q 8 hr</t>
        </is>
      </c>
      <c r="L31" s="40" t="n">
        <v>60</v>
      </c>
      <c r="M31" s="40" t="n"/>
      <c r="N31" s="40" t="n">
        <v>3</v>
      </c>
      <c r="O31" s="40" t="inlineStr">
        <is>
          <t>ทุก 8 ชั่วโมง</t>
        </is>
      </c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</row>
    <row r="32">
      <c r="A32" s="40" t="inlineStr">
        <is>
          <t>Amikacin sulfate  500 mg/2 ml</t>
        </is>
      </c>
      <c r="B32" s="40" t="n">
        <v>0</v>
      </c>
      <c r="C32" s="40" t="inlineStr">
        <is>
          <t>-</t>
        </is>
      </c>
      <c r="D32" s="40" t="inlineStr">
        <is>
          <t>250 MG/ml</t>
        </is>
      </c>
      <c r="E32" s="40" t="n">
        <v>250</v>
      </c>
      <c r="F32" s="40" t="inlineStr">
        <is>
          <t>D5W NSS</t>
        </is>
      </c>
      <c r="G32" s="40" t="inlineStr">
        <is>
          <t>2.5- 10 mg/ml</t>
        </is>
      </c>
      <c r="H32" s="40" t="n">
        <v>2.5</v>
      </c>
      <c r="I32" s="40" t="inlineStr">
        <is>
          <t>IV drip in 30 min</t>
        </is>
      </c>
      <c r="J32" s="40" t="n"/>
      <c r="K32" s="40" t="inlineStr">
        <is>
          <t>-15-20 mg/kg/day once daily
-5-7.5 mg/kg q 8 hr</t>
        </is>
      </c>
      <c r="L32" s="40" t="n">
        <v>15</v>
      </c>
      <c r="M32" s="40" t="n">
        <v>20</v>
      </c>
      <c r="N32" s="40" t="n">
        <v>1</v>
      </c>
      <c r="O32" s="40" t="inlineStr">
        <is>
          <t>ทุก 24 ชั่วโมง</t>
        </is>
      </c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</row>
    <row r="33">
      <c r="A33" s="42" t="inlineStr">
        <is>
          <t>Clindamycin 600 mg/4ml</t>
        </is>
      </c>
      <c r="B33" s="40" t="n">
        <v>0</v>
      </c>
      <c r="C33" s="40" t="inlineStr">
        <is>
          <t>-</t>
        </is>
      </c>
      <c r="D33" s="40" t="inlineStr">
        <is>
          <t>150 mg/ml</t>
        </is>
      </c>
      <c r="E33" s="40" t="n">
        <v>150</v>
      </c>
      <c r="F33" s="40" t="inlineStr">
        <is>
          <t>D5W D10W NSS</t>
        </is>
      </c>
      <c r="G33" s="46" t="inlineStr">
        <is>
          <t>max 18 mg/ml standard conc. 6 mg/ml or 12 mg/ml or 18 mg/ml</t>
        </is>
      </c>
      <c r="H33" s="40" t="n">
        <v>6</v>
      </c>
      <c r="I33" s="46" t="inlineStr">
        <is>
          <t>IV drip in 10-60 min not exceed 30 mg/min</t>
        </is>
      </c>
      <c r="J33" s="40" t="n"/>
      <c r="K33" s="40" t="inlineStr">
        <is>
          <t>20-40 mg/kg/day divided q 6-8 hr</t>
        </is>
      </c>
      <c r="L33" s="40" t="n">
        <v>20</v>
      </c>
      <c r="M33" s="40" t="n">
        <v>40</v>
      </c>
      <c r="N33" s="40" t="n">
        <v>3</v>
      </c>
      <c r="O33" s="40" t="inlineStr">
        <is>
          <t>ทุก 8 ชั่วโมง</t>
        </is>
      </c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</row>
    <row r="34">
      <c r="A34" s="52" t="inlineStr">
        <is>
          <t>Amiodarone Hydrochloride 50 mg/ml</t>
        </is>
      </c>
      <c r="B34" s="40" t="n">
        <v>0</v>
      </c>
      <c r="C34" s="40" t="inlineStr">
        <is>
          <t>-</t>
        </is>
      </c>
      <c r="D34" s="40" t="inlineStr">
        <is>
          <t>50 mg/ml</t>
        </is>
      </c>
      <c r="E34" s="40" t="n">
        <v>50</v>
      </c>
      <c r="F34" s="40" t="inlineStr">
        <is>
          <t>D5W</t>
        </is>
      </c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</row>
    <row r="35">
      <c r="A35" s="52" t="inlineStr">
        <is>
          <t>DIGOXIN IV 0.25 mg/ml</t>
        </is>
      </c>
      <c r="B35" s="40" t="n">
        <v>0</v>
      </c>
      <c r="C35" s="40" t="inlineStr">
        <is>
          <t>-</t>
        </is>
      </c>
      <c r="D35" s="42" t="inlineStr">
        <is>
          <t>0.25 mg/ml</t>
        </is>
      </c>
      <c r="E35" s="42" t="n">
        <v>0.25</v>
      </c>
      <c r="F35" s="40" t="inlineStr">
        <is>
          <t>D5W NSS</t>
        </is>
      </c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</row>
    <row r="36">
      <c r="A36" s="52" t="inlineStr">
        <is>
          <t>DIPOTASSIUM PHOSPHATE 1meq/ml</t>
        </is>
      </c>
      <c r="B36" s="40" t="n">
        <v>0</v>
      </c>
      <c r="C36" s="40" t="inlineStr">
        <is>
          <t>-</t>
        </is>
      </c>
      <c r="D36" s="42" t="inlineStr">
        <is>
          <t>1 meq/ml</t>
        </is>
      </c>
      <c r="E36" s="42" t="n">
        <v>1</v>
      </c>
      <c r="F36" s="40" t="inlineStr">
        <is>
          <t>D5W NSS</t>
        </is>
      </c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</row>
    <row r="37">
      <c r="A37" s="52" t="inlineStr">
        <is>
          <t>50%MAGNESIUM SULFATE 0.5 g/ml</t>
        </is>
      </c>
      <c r="B37" s="40" t="n">
        <v>0</v>
      </c>
      <c r="C37" s="40" t="inlineStr">
        <is>
          <t>-</t>
        </is>
      </c>
      <c r="D37" s="42" t="inlineStr">
        <is>
          <t>500 mg/ml</t>
        </is>
      </c>
      <c r="E37" s="42" t="n">
        <v>500</v>
      </c>
      <c r="F37" s="40" t="inlineStr">
        <is>
          <t>D5W NSS</t>
        </is>
      </c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</row>
    <row r="38">
      <c r="A38" s="53" t="n"/>
      <c r="B38" s="40" t="n"/>
      <c r="C38" s="40" t="n"/>
      <c r="D38" s="42" t="n"/>
      <c r="E38" s="42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</row>
    <row r="39">
      <c r="A39" s="53" t="n"/>
      <c r="B39" s="40" t="n"/>
      <c r="C39" s="40" t="n"/>
      <c r="D39" s="42" t="n"/>
      <c r="E39" s="42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</row>
    <row r="40">
      <c r="A40" s="53" t="n"/>
      <c r="B40" s="40" t="n"/>
      <c r="C40" s="40" t="n"/>
      <c r="D40" s="42" t="n"/>
      <c r="E40" s="42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</row>
    <row r="41">
      <c r="A41" s="53" t="n"/>
      <c r="B41" s="40" t="n"/>
      <c r="C41" s="40" t="n"/>
      <c r="D41" s="42" t="n"/>
      <c r="E41" s="42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</row>
    <row r="42">
      <c r="A42" s="53" t="n"/>
      <c r="B42" s="40" t="n"/>
      <c r="C42" s="40" t="n"/>
      <c r="D42" s="42" t="n"/>
      <c r="E42" s="42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</row>
    <row r="43">
      <c r="A43" s="53" t="n"/>
      <c r="B43" s="40" t="n"/>
      <c r="C43" s="40" t="n"/>
      <c r="D43" s="42" t="n"/>
      <c r="E43" s="42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</row>
    <row r="44">
      <c r="A44" s="53" t="n"/>
      <c r="B44" s="40" t="n"/>
      <c r="C44" s="40" t="n"/>
      <c r="D44" s="42" t="n"/>
      <c r="E44" s="42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</row>
    <row r="45">
      <c r="A45" s="53" t="n"/>
      <c r="B45" s="40" t="n"/>
      <c r="C45" s="40" t="n"/>
      <c r="D45" s="42" t="n"/>
      <c r="E45" s="42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</row>
    <row r="46">
      <c r="A46" s="53" t="n"/>
      <c r="B46" s="40" t="n"/>
      <c r="C46" s="40" t="n"/>
      <c r="D46" s="42" t="n"/>
      <c r="E46" s="42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</row>
    <row r="47">
      <c r="A47" s="53" t="n"/>
      <c r="B47" s="40" t="n"/>
      <c r="C47" s="40" t="n"/>
      <c r="D47" s="42" t="n"/>
      <c r="E47" s="42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</row>
    <row r="48">
      <c r="A48" s="53" t="n"/>
      <c r="B48" s="40" t="n"/>
      <c r="C48" s="40" t="n"/>
      <c r="D48" s="42" t="n"/>
      <c r="E48" s="42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</row>
    <row r="49">
      <c r="A49" s="53" t="n"/>
      <c r="B49" s="40" t="n"/>
      <c r="C49" s="40" t="n"/>
      <c r="D49" s="42" t="n"/>
      <c r="E49" s="42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</row>
    <row r="50">
      <c r="A50" s="53" t="n"/>
      <c r="B50" s="40" t="n"/>
      <c r="C50" s="40" t="n"/>
      <c r="D50" s="42" t="n"/>
      <c r="E50" s="42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</row>
    <row r="5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</row>
    <row r="52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</row>
    <row r="53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</row>
    <row r="54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</row>
    <row r="55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</row>
    <row r="56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</row>
    <row r="57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</row>
    <row r="58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</row>
    <row r="59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</row>
    <row r="60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</row>
    <row r="61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</row>
    <row r="62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</row>
    <row r="63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</row>
    <row r="64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</row>
    <row r="65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</row>
    <row r="66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</row>
    <row r="67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</row>
    <row r="68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</row>
    <row r="69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</row>
    <row r="70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</row>
    <row r="71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</row>
    <row r="72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</row>
    <row r="73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</row>
    <row r="74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</row>
    <row r="75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</row>
    <row r="76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</row>
    <row r="77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</row>
    <row r="78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</row>
    <row r="79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</row>
    <row r="80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</row>
    <row r="81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</row>
    <row r="82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</row>
    <row r="83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</row>
    <row r="84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</row>
    <row r="85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</row>
    <row r="86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</row>
    <row r="87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</row>
    <row r="88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</row>
    <row r="89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</row>
    <row r="90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</row>
    <row r="91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</row>
    <row r="92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</row>
    <row r="93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</row>
    <row r="94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</row>
    <row r="95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</row>
    <row r="96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</row>
    <row r="97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</row>
    <row r="98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</row>
    <row r="99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</row>
    <row r="100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</row>
    <row r="101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</row>
    <row r="102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</row>
    <row r="103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</row>
    <row r="104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</row>
    <row r="105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</row>
    <row r="106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</row>
    <row r="107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</row>
    <row r="108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</row>
    <row r="109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</row>
    <row r="110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</row>
    <row r="111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</row>
    <row r="112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</row>
    <row r="113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</row>
    <row r="114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</row>
    <row r="115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</row>
    <row r="116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</row>
    <row r="117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</row>
    <row r="118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</row>
    <row r="119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</row>
    <row r="120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</row>
    <row r="121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</row>
    <row r="122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</row>
    <row r="123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</row>
    <row r="124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</row>
    <row r="125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</row>
    <row r="126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</row>
    <row r="127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</row>
    <row r="128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</row>
    <row r="129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</row>
    <row r="130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</row>
    <row r="131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</row>
    <row r="132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</row>
    <row r="133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</row>
    <row r="134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</row>
    <row r="135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</row>
    <row r="136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</row>
    <row r="137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</row>
    <row r="138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</row>
    <row r="139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</row>
    <row r="140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</row>
    <row r="141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</row>
    <row r="142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</row>
    <row r="143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</row>
    <row r="144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</row>
    <row r="145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</row>
    <row r="146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</row>
    <row r="147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</row>
    <row r="148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</row>
    <row r="149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</row>
    <row r="150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</row>
    <row r="151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</row>
    <row r="152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</row>
    <row r="153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</row>
    <row r="154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</row>
    <row r="155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</row>
    <row r="156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</row>
    <row r="157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</row>
    <row r="158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</row>
    <row r="159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</row>
    <row r="160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</row>
    <row r="161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</row>
    <row r="162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</row>
    <row r="163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</row>
    <row r="164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</row>
    <row r="165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</row>
    <row r="166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</row>
    <row r="167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</row>
    <row r="168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</row>
    <row r="169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</row>
    <row r="170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</row>
    <row r="171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</row>
    <row r="172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</row>
    <row r="173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</row>
    <row r="174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</row>
    <row r="175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</row>
    <row r="176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</row>
    <row r="177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</row>
    <row r="178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</row>
    <row r="179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</row>
    <row r="180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</row>
    <row r="181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</row>
    <row r="182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</row>
    <row r="183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</row>
    <row r="184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</row>
    <row r="185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</row>
    <row r="186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</row>
    <row r="187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</row>
    <row r="188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</row>
    <row r="189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</row>
    <row r="190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</row>
    <row r="191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</row>
    <row r="192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</row>
    <row r="193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</row>
    <row r="194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</row>
    <row r="195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</row>
    <row r="196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</row>
    <row r="197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</row>
    <row r="198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</row>
    <row r="199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</row>
    <row r="200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</row>
    <row r="201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</row>
    <row r="202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</row>
    <row r="203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</row>
    <row r="204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</row>
    <row r="205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</row>
    <row r="206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</row>
    <row r="207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</row>
    <row r="208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</row>
    <row r="209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</row>
    <row r="210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</row>
    <row r="211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</row>
    <row r="212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</row>
    <row r="213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</row>
    <row r="214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</row>
    <row r="215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</row>
    <row r="216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</row>
    <row r="217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</row>
    <row r="218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</row>
    <row r="219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</row>
    <row r="220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</row>
    <row r="221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</row>
    <row r="222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</row>
    <row r="223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</row>
    <row r="224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</row>
    <row r="225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</row>
    <row r="226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</row>
    <row r="227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</row>
    <row r="228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</row>
    <row r="229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</row>
    <row r="230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</row>
    <row r="231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</row>
    <row r="232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</row>
    <row r="233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</row>
    <row r="234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</row>
    <row r="235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</row>
    <row r="236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</row>
    <row r="237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</row>
    <row r="238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</row>
    <row r="239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</row>
    <row r="240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</row>
    <row r="241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</row>
    <row r="242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</row>
    <row r="243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</row>
    <row r="244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</row>
    <row r="245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</row>
    <row r="246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</row>
    <row r="247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</row>
    <row r="248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</row>
    <row r="249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</row>
    <row r="250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</row>
    <row r="251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</row>
    <row r="252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</row>
    <row r="253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</row>
    <row r="254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</row>
    <row r="255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</row>
    <row r="256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</row>
    <row r="257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</row>
    <row r="258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</row>
    <row r="259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</row>
    <row r="260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</row>
    <row r="261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</row>
    <row r="262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</row>
    <row r="263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</row>
    <row r="264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</row>
    <row r="265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</row>
    <row r="266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</row>
    <row r="267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</row>
    <row r="268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</row>
    <row r="269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</row>
    <row r="270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</row>
    <row r="271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</row>
    <row r="272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</row>
    <row r="273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</row>
    <row r="274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</row>
    <row r="275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</row>
    <row r="276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</row>
    <row r="277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</row>
    <row r="278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</row>
    <row r="279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</row>
    <row r="280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</row>
    <row r="281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</row>
    <row r="282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</row>
    <row r="283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</row>
    <row r="284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</row>
    <row r="285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</row>
    <row r="286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</row>
    <row r="287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</row>
    <row r="288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</row>
    <row r="289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</row>
    <row r="290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</row>
    <row r="291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</row>
    <row r="292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</row>
    <row r="293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</row>
    <row r="294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</row>
    <row r="295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</row>
    <row r="296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</row>
    <row r="297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</row>
    <row r="298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</row>
    <row r="299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</row>
    <row r="300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</row>
    <row r="301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</row>
    <row r="302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</row>
    <row r="303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</row>
    <row r="304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40" t="n"/>
      <c r="AB304" s="40" t="n"/>
      <c r="AC304" s="40" t="n"/>
      <c r="AD304" s="40" t="n"/>
    </row>
    <row r="305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40" t="n"/>
      <c r="AB305" s="40" t="n"/>
      <c r="AC305" s="40" t="n"/>
      <c r="AD305" s="40" t="n"/>
    </row>
    <row r="306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40" t="n"/>
      <c r="AB306" s="40" t="n"/>
      <c r="AC306" s="40" t="n"/>
      <c r="AD306" s="40" t="n"/>
    </row>
    <row r="307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40" t="n"/>
      <c r="AB307" s="40" t="n"/>
      <c r="AC307" s="40" t="n"/>
      <c r="AD307" s="40" t="n"/>
    </row>
    <row r="308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40" t="n"/>
      <c r="AB308" s="40" t="n"/>
      <c r="AC308" s="40" t="n"/>
      <c r="AD308" s="40" t="n"/>
    </row>
    <row r="309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40" t="n"/>
      <c r="AB309" s="40" t="n"/>
      <c r="AC309" s="40" t="n"/>
      <c r="AD309" s="40" t="n"/>
    </row>
    <row r="310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40" t="n"/>
      <c r="AB310" s="40" t="n"/>
      <c r="AC310" s="40" t="n"/>
      <c r="AD310" s="40" t="n"/>
    </row>
    <row r="311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40" t="n"/>
      <c r="AB311" s="40" t="n"/>
      <c r="AC311" s="40" t="n"/>
      <c r="AD311" s="40" t="n"/>
    </row>
    <row r="312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40" t="n"/>
      <c r="AB312" s="40" t="n"/>
      <c r="AC312" s="40" t="n"/>
      <c r="AD312" s="40" t="n"/>
    </row>
    <row r="313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40" t="n"/>
      <c r="AB313" s="40" t="n"/>
      <c r="AC313" s="40" t="n"/>
      <c r="AD313" s="40" t="n"/>
    </row>
    <row r="314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40" t="n"/>
      <c r="AB314" s="40" t="n"/>
      <c r="AC314" s="40" t="n"/>
      <c r="AD314" s="40" t="n"/>
    </row>
    <row r="315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40" t="n"/>
      <c r="AB315" s="40" t="n"/>
      <c r="AC315" s="40" t="n"/>
      <c r="AD315" s="40" t="n"/>
    </row>
    <row r="316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40" t="n"/>
      <c r="AB316" s="40" t="n"/>
      <c r="AC316" s="40" t="n"/>
      <c r="AD316" s="40" t="n"/>
    </row>
    <row r="317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40" t="n"/>
      <c r="AB317" s="40" t="n"/>
      <c r="AC317" s="40" t="n"/>
      <c r="AD317" s="40" t="n"/>
    </row>
    <row r="318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0" t="n"/>
      <c r="AB318" s="40" t="n"/>
      <c r="AC318" s="40" t="n"/>
      <c r="AD318" s="40" t="n"/>
    </row>
    <row r="319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40" t="n"/>
      <c r="AB319" s="40" t="n"/>
      <c r="AC319" s="40" t="n"/>
      <c r="AD319" s="40" t="n"/>
    </row>
    <row r="320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40" t="n"/>
      <c r="AB320" s="40" t="n"/>
      <c r="AC320" s="40" t="n"/>
      <c r="AD320" s="40" t="n"/>
    </row>
    <row r="321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</row>
    <row r="322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40" t="n"/>
      <c r="AB322" s="40" t="n"/>
      <c r="AC322" s="40" t="n"/>
      <c r="AD322" s="40" t="n"/>
    </row>
    <row r="323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40" t="n"/>
      <c r="AD323" s="40" t="n"/>
    </row>
    <row r="324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0" t="n"/>
      <c r="AB324" s="40" t="n"/>
      <c r="AC324" s="40" t="n"/>
      <c r="AD324" s="40" t="n"/>
    </row>
    <row r="325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40" t="n"/>
      <c r="AB325" s="40" t="n"/>
      <c r="AC325" s="40" t="n"/>
      <c r="AD325" s="40" t="n"/>
    </row>
    <row r="326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40" t="n"/>
      <c r="AB326" s="40" t="n"/>
      <c r="AC326" s="40" t="n"/>
      <c r="AD326" s="40" t="n"/>
    </row>
    <row r="327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40" t="n"/>
      <c r="AB327" s="40" t="n"/>
      <c r="AC327" s="40" t="n"/>
      <c r="AD327" s="40" t="n"/>
    </row>
    <row r="328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40" t="n"/>
      <c r="AB328" s="40" t="n"/>
      <c r="AC328" s="40" t="n"/>
      <c r="AD328" s="40" t="n"/>
    </row>
    <row r="329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40" t="n"/>
      <c r="AB329" s="40" t="n"/>
      <c r="AC329" s="40" t="n"/>
      <c r="AD329" s="40" t="n"/>
    </row>
    <row r="330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40" t="n"/>
      <c r="AB330" s="40" t="n"/>
      <c r="AC330" s="40" t="n"/>
      <c r="AD330" s="40" t="n"/>
    </row>
    <row r="331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  <c r="AC331" s="40" t="n"/>
      <c r="AD331" s="40" t="n"/>
    </row>
    <row r="332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40" t="n"/>
      <c r="AB332" s="40" t="n"/>
      <c r="AC332" s="40" t="n"/>
      <c r="AD332" s="40" t="n"/>
    </row>
    <row r="333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40" t="n"/>
      <c r="AB333" s="40" t="n"/>
      <c r="AC333" s="40" t="n"/>
      <c r="AD333" s="40" t="n"/>
    </row>
    <row r="334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40" t="n"/>
      <c r="AB334" s="40" t="n"/>
      <c r="AC334" s="40" t="n"/>
      <c r="AD334" s="40" t="n"/>
    </row>
    <row r="335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40" t="n"/>
      <c r="AB335" s="40" t="n"/>
      <c r="AC335" s="40" t="n"/>
      <c r="AD335" s="40" t="n"/>
    </row>
    <row r="336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40" t="n"/>
      <c r="AB336" s="40" t="n"/>
      <c r="AC336" s="40" t="n"/>
      <c r="AD336" s="40" t="n"/>
    </row>
    <row r="337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0" t="n"/>
      <c r="AB337" s="40" t="n"/>
      <c r="AC337" s="40" t="n"/>
      <c r="AD337" s="40" t="n"/>
    </row>
    <row r="338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40" t="n"/>
      <c r="AB338" s="40" t="n"/>
      <c r="AC338" s="40" t="n"/>
      <c r="AD338" s="40" t="n"/>
    </row>
    <row r="339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  <c r="AC339" s="40" t="n"/>
      <c r="AD339" s="40" t="n"/>
    </row>
    <row r="340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40" t="n"/>
      <c r="AB340" s="40" t="n"/>
      <c r="AC340" s="40" t="n"/>
      <c r="AD340" s="40" t="n"/>
    </row>
    <row r="341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40" t="n"/>
      <c r="AB341" s="40" t="n"/>
      <c r="AC341" s="40" t="n"/>
      <c r="AD341" s="40" t="n"/>
    </row>
    <row r="342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40" t="n"/>
      <c r="AB342" s="40" t="n"/>
      <c r="AC342" s="40" t="n"/>
      <c r="AD342" s="40" t="n"/>
    </row>
    <row r="343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40" t="n"/>
      <c r="AB343" s="40" t="n"/>
      <c r="AC343" s="40" t="n"/>
      <c r="AD343" s="40" t="n"/>
    </row>
    <row r="344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40" t="n"/>
      <c r="AB344" s="40" t="n"/>
      <c r="AC344" s="40" t="n"/>
      <c r="AD344" s="40" t="n"/>
    </row>
    <row r="345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  <c r="AC345" s="40" t="n"/>
      <c r="AD345" s="40" t="n"/>
    </row>
    <row r="346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40" t="n"/>
      <c r="AB346" s="40" t="n"/>
      <c r="AC346" s="40" t="n"/>
      <c r="AD346" s="40" t="n"/>
    </row>
    <row r="347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40" t="n"/>
      <c r="AB347" s="40" t="n"/>
      <c r="AC347" s="40" t="n"/>
      <c r="AD347" s="40" t="n"/>
    </row>
    <row r="348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40" t="n"/>
      <c r="AB348" s="40" t="n"/>
      <c r="AC348" s="40" t="n"/>
      <c r="AD348" s="40" t="n"/>
    </row>
    <row r="349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40" t="n"/>
      <c r="AB349" s="40" t="n"/>
      <c r="AC349" s="40" t="n"/>
      <c r="AD349" s="40" t="n"/>
    </row>
    <row r="350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40" t="n"/>
      <c r="AB350" s="40" t="n"/>
      <c r="AC350" s="40" t="n"/>
      <c r="AD350" s="40" t="n"/>
    </row>
    <row r="351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  <c r="AC351" s="40" t="n"/>
      <c r="AD351" s="40" t="n"/>
    </row>
    <row r="352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40" t="n"/>
      <c r="AB352" s="40" t="n"/>
      <c r="AC352" s="40" t="n"/>
      <c r="AD352" s="40" t="n"/>
    </row>
    <row r="353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40" t="n"/>
      <c r="AB353" s="40" t="n"/>
      <c r="AC353" s="40" t="n"/>
      <c r="AD353" s="40" t="n"/>
    </row>
    <row r="354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40" t="n"/>
      <c r="AB354" s="40" t="n"/>
      <c r="AC354" s="40" t="n"/>
      <c r="AD354" s="40" t="n"/>
    </row>
    <row r="355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40" t="n"/>
      <c r="AB355" s="40" t="n"/>
      <c r="AC355" s="40" t="n"/>
      <c r="AD355" s="40" t="n"/>
    </row>
    <row r="356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40" t="n"/>
      <c r="AB356" s="40" t="n"/>
      <c r="AC356" s="40" t="n"/>
      <c r="AD356" s="40" t="n"/>
    </row>
    <row r="357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40" t="n"/>
      <c r="AB357" s="40" t="n"/>
      <c r="AC357" s="40" t="n"/>
      <c r="AD357" s="40" t="n"/>
    </row>
    <row r="358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40" t="n"/>
      <c r="AB358" s="40" t="n"/>
      <c r="AC358" s="40" t="n"/>
      <c r="AD358" s="40" t="n"/>
    </row>
    <row r="359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40" t="n"/>
      <c r="AB359" s="40" t="n"/>
      <c r="AC359" s="40" t="n"/>
      <c r="AD359" s="40" t="n"/>
    </row>
    <row r="360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40" t="n"/>
      <c r="AB360" s="40" t="n"/>
      <c r="AC360" s="40" t="n"/>
      <c r="AD360" s="40" t="n"/>
    </row>
    <row r="361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40" t="n"/>
      <c r="AB361" s="40" t="n"/>
      <c r="AC361" s="40" t="n"/>
      <c r="AD361" s="40" t="n"/>
    </row>
    <row r="362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40" t="n"/>
      <c r="AB362" s="40" t="n"/>
      <c r="AC362" s="40" t="n"/>
      <c r="AD362" s="40" t="n"/>
    </row>
    <row r="363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40" t="n"/>
      <c r="AB363" s="40" t="n"/>
      <c r="AC363" s="40" t="n"/>
      <c r="AD363" s="40" t="n"/>
    </row>
    <row r="364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40" t="n"/>
      <c r="AB364" s="40" t="n"/>
      <c r="AC364" s="40" t="n"/>
      <c r="AD364" s="40" t="n"/>
    </row>
    <row r="365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40" t="n"/>
      <c r="AB365" s="40" t="n"/>
      <c r="AC365" s="40" t="n"/>
      <c r="AD365" s="40" t="n"/>
    </row>
    <row r="366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40" t="n"/>
      <c r="AB366" s="40" t="n"/>
      <c r="AC366" s="40" t="n"/>
      <c r="AD366" s="40" t="n"/>
    </row>
    <row r="367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40" t="n"/>
      <c r="AB367" s="40" t="n"/>
      <c r="AC367" s="40" t="n"/>
      <c r="AD367" s="40" t="n"/>
    </row>
    <row r="368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  <c r="AA368" s="40" t="n"/>
      <c r="AB368" s="40" t="n"/>
      <c r="AC368" s="40" t="n"/>
      <c r="AD368" s="40" t="n"/>
    </row>
    <row r="369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  <c r="AA369" s="40" t="n"/>
      <c r="AB369" s="40" t="n"/>
      <c r="AC369" s="40" t="n"/>
      <c r="AD369" s="40" t="n"/>
    </row>
    <row r="370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  <c r="AA370" s="40" t="n"/>
      <c r="AB370" s="40" t="n"/>
      <c r="AC370" s="40" t="n"/>
      <c r="AD370" s="40" t="n"/>
    </row>
    <row r="371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  <c r="AA371" s="40" t="n"/>
      <c r="AB371" s="40" t="n"/>
      <c r="AC371" s="40" t="n"/>
      <c r="AD371" s="40" t="n"/>
    </row>
    <row r="372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  <c r="AA372" s="40" t="n"/>
      <c r="AB372" s="40" t="n"/>
      <c r="AC372" s="40" t="n"/>
      <c r="AD372" s="40" t="n"/>
    </row>
    <row r="373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40" t="n"/>
      <c r="AB373" s="40" t="n"/>
      <c r="AC373" s="40" t="n"/>
      <c r="AD373" s="40" t="n"/>
    </row>
    <row r="374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  <c r="AA374" s="40" t="n"/>
      <c r="AB374" s="40" t="n"/>
      <c r="AC374" s="40" t="n"/>
      <c r="AD374" s="40" t="n"/>
    </row>
    <row r="375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  <c r="AA375" s="40" t="n"/>
      <c r="AB375" s="40" t="n"/>
      <c r="AC375" s="40" t="n"/>
      <c r="AD375" s="40" t="n"/>
    </row>
    <row r="376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  <c r="AA376" s="40" t="n"/>
      <c r="AB376" s="40" t="n"/>
      <c r="AC376" s="40" t="n"/>
      <c r="AD376" s="40" t="n"/>
    </row>
    <row r="377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</row>
    <row r="378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  <c r="AA378" s="40" t="n"/>
      <c r="AB378" s="40" t="n"/>
      <c r="AC378" s="40" t="n"/>
      <c r="AD378" s="40" t="n"/>
    </row>
    <row r="379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40" t="n"/>
      <c r="AD379" s="40" t="n"/>
    </row>
    <row r="380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0" t="n"/>
      <c r="AB380" s="40" t="n"/>
      <c r="AC380" s="40" t="n"/>
      <c r="AD380" s="40" t="n"/>
    </row>
    <row r="381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40" t="n"/>
      <c r="AB381" s="40" t="n"/>
      <c r="AC381" s="40" t="n"/>
      <c r="AD381" s="40" t="n"/>
    </row>
    <row r="382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  <c r="AA382" s="40" t="n"/>
      <c r="AB382" s="40" t="n"/>
      <c r="AC382" s="40" t="n"/>
      <c r="AD382" s="40" t="n"/>
    </row>
    <row r="383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  <c r="AA383" s="40" t="n"/>
      <c r="AB383" s="40" t="n"/>
      <c r="AC383" s="40" t="n"/>
      <c r="AD383" s="40" t="n"/>
    </row>
    <row r="384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  <c r="AA384" s="40" t="n"/>
      <c r="AB384" s="40" t="n"/>
      <c r="AC384" s="40" t="n"/>
      <c r="AD384" s="40" t="n"/>
    </row>
    <row r="385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  <c r="AA385" s="40" t="n"/>
      <c r="AB385" s="40" t="n"/>
      <c r="AC385" s="40" t="n"/>
      <c r="AD385" s="40" t="n"/>
    </row>
    <row r="386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  <c r="AA386" s="40" t="n"/>
      <c r="AB386" s="40" t="n"/>
      <c r="AC386" s="40" t="n"/>
      <c r="AD386" s="40" t="n"/>
    </row>
    <row r="387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  <c r="AA387" s="40" t="n"/>
      <c r="AB387" s="40" t="n"/>
      <c r="AC387" s="40" t="n"/>
      <c r="AD387" s="40" t="n"/>
    </row>
    <row r="388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  <c r="AA388" s="40" t="n"/>
      <c r="AB388" s="40" t="n"/>
      <c r="AC388" s="40" t="n"/>
      <c r="AD388" s="40" t="n"/>
    </row>
    <row r="389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40" t="n"/>
      <c r="AB389" s="40" t="n"/>
      <c r="AC389" s="40" t="n"/>
      <c r="AD389" s="40" t="n"/>
    </row>
    <row r="390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  <c r="AA390" s="40" t="n"/>
      <c r="AB390" s="40" t="n"/>
      <c r="AC390" s="40" t="n"/>
      <c r="AD390" s="40" t="n"/>
    </row>
    <row r="391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  <c r="AA391" s="40" t="n"/>
      <c r="AB391" s="40" t="n"/>
      <c r="AC391" s="40" t="n"/>
      <c r="AD391" s="40" t="n"/>
    </row>
    <row r="392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  <c r="AA392" s="40" t="n"/>
      <c r="AB392" s="40" t="n"/>
      <c r="AC392" s="40" t="n"/>
      <c r="AD392" s="40" t="n"/>
    </row>
    <row r="393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  <c r="AA393" s="40" t="n"/>
      <c r="AB393" s="40" t="n"/>
      <c r="AC393" s="40" t="n"/>
      <c r="AD393" s="40" t="n"/>
    </row>
    <row r="394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  <c r="AA394" s="40" t="n"/>
      <c r="AB394" s="40" t="n"/>
      <c r="AC394" s="40" t="n"/>
      <c r="AD394" s="40" t="n"/>
    </row>
    <row r="395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  <c r="AA395" s="40" t="n"/>
      <c r="AB395" s="40" t="n"/>
      <c r="AC395" s="40" t="n"/>
      <c r="AD395" s="40" t="n"/>
    </row>
    <row r="396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  <c r="AA396" s="40" t="n"/>
      <c r="AB396" s="40" t="n"/>
      <c r="AC396" s="40" t="n"/>
      <c r="AD396" s="40" t="n"/>
    </row>
    <row r="397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  <c r="AA397" s="40" t="n"/>
      <c r="AB397" s="40" t="n"/>
      <c r="AC397" s="40" t="n"/>
      <c r="AD397" s="40" t="n"/>
    </row>
    <row r="398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  <c r="AA398" s="40" t="n"/>
      <c r="AB398" s="40" t="n"/>
      <c r="AC398" s="40" t="n"/>
      <c r="AD398" s="40" t="n"/>
    </row>
    <row r="399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  <c r="AA399" s="40" t="n"/>
      <c r="AB399" s="40" t="n"/>
      <c r="AC399" s="40" t="n"/>
      <c r="AD399" s="40" t="n"/>
    </row>
    <row r="400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  <c r="AA400" s="40" t="n"/>
      <c r="AB400" s="40" t="n"/>
      <c r="AC400" s="40" t="n"/>
      <c r="AD400" s="40" t="n"/>
    </row>
    <row r="401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  <c r="AA401" s="40" t="n"/>
      <c r="AB401" s="40" t="n"/>
      <c r="AC401" s="40" t="n"/>
      <c r="AD401" s="40" t="n"/>
    </row>
    <row r="402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  <c r="AA402" s="40" t="n"/>
      <c r="AB402" s="40" t="n"/>
      <c r="AC402" s="40" t="n"/>
      <c r="AD402" s="40" t="n"/>
    </row>
    <row r="403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  <c r="AA403" s="40" t="n"/>
      <c r="AB403" s="40" t="n"/>
      <c r="AC403" s="40" t="n"/>
      <c r="AD403" s="40" t="n"/>
    </row>
    <row r="404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  <c r="AA404" s="40" t="n"/>
      <c r="AB404" s="40" t="n"/>
      <c r="AC404" s="40" t="n"/>
      <c r="AD404" s="40" t="n"/>
    </row>
    <row r="405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  <c r="AA405" s="40" t="n"/>
      <c r="AB405" s="40" t="n"/>
      <c r="AC405" s="40" t="n"/>
      <c r="AD405" s="40" t="n"/>
    </row>
    <row r="406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  <c r="AA406" s="40" t="n"/>
      <c r="AB406" s="40" t="n"/>
      <c r="AC406" s="40" t="n"/>
      <c r="AD406" s="40" t="n"/>
    </row>
    <row r="407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  <c r="AA407" s="40" t="n"/>
      <c r="AB407" s="40" t="n"/>
      <c r="AC407" s="40" t="n"/>
      <c r="AD407" s="40" t="n"/>
    </row>
    <row r="408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0" t="n"/>
      <c r="AB408" s="40" t="n"/>
      <c r="AC408" s="40" t="n"/>
      <c r="AD408" s="40" t="n"/>
    </row>
    <row r="409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  <c r="AA409" s="40" t="n"/>
      <c r="AB409" s="40" t="n"/>
      <c r="AC409" s="40" t="n"/>
      <c r="AD409" s="40" t="n"/>
    </row>
    <row r="410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  <c r="AA410" s="40" t="n"/>
      <c r="AB410" s="40" t="n"/>
      <c r="AC410" s="40" t="n"/>
      <c r="AD410" s="40" t="n"/>
    </row>
    <row r="411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  <c r="AA411" s="40" t="n"/>
      <c r="AB411" s="40" t="n"/>
      <c r="AC411" s="40" t="n"/>
      <c r="AD411" s="40" t="n"/>
    </row>
    <row r="412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  <c r="AA412" s="40" t="n"/>
      <c r="AB412" s="40" t="n"/>
      <c r="AC412" s="40" t="n"/>
      <c r="AD412" s="40" t="n"/>
    </row>
    <row r="413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  <c r="AA413" s="40" t="n"/>
      <c r="AB413" s="40" t="n"/>
      <c r="AC413" s="40" t="n"/>
      <c r="AD413" s="40" t="n"/>
    </row>
    <row r="414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  <c r="AA414" s="40" t="n"/>
      <c r="AB414" s="40" t="n"/>
      <c r="AC414" s="40" t="n"/>
      <c r="AD414" s="40" t="n"/>
    </row>
    <row r="415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  <c r="AA415" s="40" t="n"/>
      <c r="AB415" s="40" t="n"/>
      <c r="AC415" s="40" t="n"/>
      <c r="AD415" s="40" t="n"/>
    </row>
    <row r="416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  <c r="AA416" s="40" t="n"/>
      <c r="AB416" s="40" t="n"/>
      <c r="AC416" s="40" t="n"/>
      <c r="AD416" s="40" t="n"/>
    </row>
    <row r="417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  <c r="AA417" s="40" t="n"/>
      <c r="AB417" s="40" t="n"/>
      <c r="AC417" s="40" t="n"/>
      <c r="AD417" s="40" t="n"/>
    </row>
    <row r="418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  <c r="AA418" s="40" t="n"/>
      <c r="AB418" s="40" t="n"/>
      <c r="AC418" s="40" t="n"/>
      <c r="AD418" s="40" t="n"/>
    </row>
    <row r="419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  <c r="AA419" s="40" t="n"/>
      <c r="AB419" s="40" t="n"/>
      <c r="AC419" s="40" t="n"/>
      <c r="AD419" s="40" t="n"/>
    </row>
    <row r="420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  <c r="AA420" s="40" t="n"/>
      <c r="AB420" s="40" t="n"/>
      <c r="AC420" s="40" t="n"/>
      <c r="AD420" s="40" t="n"/>
    </row>
    <row r="421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  <c r="AA421" s="40" t="n"/>
      <c r="AB421" s="40" t="n"/>
      <c r="AC421" s="40" t="n"/>
      <c r="AD421" s="40" t="n"/>
    </row>
    <row r="422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  <c r="AA422" s="40" t="n"/>
      <c r="AB422" s="40" t="n"/>
      <c r="AC422" s="40" t="n"/>
      <c r="AD422" s="40" t="n"/>
    </row>
    <row r="423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  <c r="AA423" s="40" t="n"/>
      <c r="AB423" s="40" t="n"/>
      <c r="AC423" s="40" t="n"/>
      <c r="AD423" s="40" t="n"/>
    </row>
    <row r="424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  <c r="AA424" s="40" t="n"/>
      <c r="AB424" s="40" t="n"/>
      <c r="AC424" s="40" t="n"/>
      <c r="AD424" s="40" t="n"/>
    </row>
    <row r="425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  <c r="AA425" s="40" t="n"/>
      <c r="AB425" s="40" t="n"/>
      <c r="AC425" s="40" t="n"/>
      <c r="AD425" s="40" t="n"/>
    </row>
    <row r="426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  <c r="AA426" s="40" t="n"/>
      <c r="AB426" s="40" t="n"/>
      <c r="AC426" s="40" t="n"/>
      <c r="AD426" s="40" t="n"/>
    </row>
    <row r="427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  <c r="AA427" s="40" t="n"/>
      <c r="AB427" s="40" t="n"/>
      <c r="AC427" s="40" t="n"/>
      <c r="AD427" s="40" t="n"/>
    </row>
    <row r="428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  <c r="AA428" s="40" t="n"/>
      <c r="AB428" s="40" t="n"/>
      <c r="AC428" s="40" t="n"/>
      <c r="AD428" s="40" t="n"/>
    </row>
    <row r="429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  <c r="AA429" s="40" t="n"/>
      <c r="AB429" s="40" t="n"/>
      <c r="AC429" s="40" t="n"/>
      <c r="AD429" s="40" t="n"/>
    </row>
    <row r="430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  <c r="AA430" s="40" t="n"/>
      <c r="AB430" s="40" t="n"/>
      <c r="AC430" s="40" t="n"/>
      <c r="AD430" s="40" t="n"/>
    </row>
    <row r="431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  <c r="AA431" s="40" t="n"/>
      <c r="AB431" s="40" t="n"/>
      <c r="AC431" s="40" t="n"/>
      <c r="AD431" s="40" t="n"/>
    </row>
    <row r="432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  <c r="AA432" s="40" t="n"/>
      <c r="AB432" s="40" t="n"/>
      <c r="AC432" s="40" t="n"/>
      <c r="AD432" s="40" t="n"/>
    </row>
    <row r="433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40" t="n"/>
      <c r="AB433" s="40" t="n"/>
      <c r="AC433" s="40" t="n"/>
      <c r="AD433" s="40" t="n"/>
    </row>
    <row r="434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  <c r="AA434" s="40" t="n"/>
      <c r="AB434" s="40" t="n"/>
      <c r="AC434" s="40" t="n"/>
      <c r="AD434" s="40" t="n"/>
    </row>
    <row r="435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40" t="n"/>
      <c r="AB435" s="40" t="n"/>
      <c r="AC435" s="40" t="n"/>
      <c r="AD435" s="40" t="n"/>
    </row>
    <row r="436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40" t="n"/>
      <c r="AB436" s="40" t="n"/>
      <c r="AC436" s="40" t="n"/>
      <c r="AD436" s="40" t="n"/>
    </row>
    <row r="437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  <c r="AA437" s="40" t="n"/>
      <c r="AB437" s="40" t="n"/>
      <c r="AC437" s="40" t="n"/>
      <c r="AD437" s="40" t="n"/>
    </row>
    <row r="438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  <c r="AA438" s="40" t="n"/>
      <c r="AB438" s="40" t="n"/>
      <c r="AC438" s="40" t="n"/>
      <c r="AD438" s="40" t="n"/>
    </row>
    <row r="439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  <c r="AA439" s="40" t="n"/>
      <c r="AB439" s="40" t="n"/>
      <c r="AC439" s="40" t="n"/>
      <c r="AD439" s="40" t="n"/>
    </row>
    <row r="440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  <c r="AA440" s="40" t="n"/>
      <c r="AB440" s="40" t="n"/>
      <c r="AC440" s="40" t="n"/>
      <c r="AD440" s="40" t="n"/>
    </row>
    <row r="441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  <c r="AA441" s="40" t="n"/>
      <c r="AB441" s="40" t="n"/>
      <c r="AC441" s="40" t="n"/>
      <c r="AD441" s="40" t="n"/>
    </row>
    <row r="442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  <c r="AA442" s="40" t="n"/>
      <c r="AB442" s="40" t="n"/>
      <c r="AC442" s="40" t="n"/>
      <c r="AD442" s="40" t="n"/>
    </row>
    <row r="443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  <c r="AA443" s="40" t="n"/>
      <c r="AB443" s="40" t="n"/>
      <c r="AC443" s="40" t="n"/>
      <c r="AD443" s="40" t="n"/>
    </row>
    <row r="444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  <c r="AA444" s="40" t="n"/>
      <c r="AB444" s="40" t="n"/>
      <c r="AC444" s="40" t="n"/>
      <c r="AD444" s="40" t="n"/>
    </row>
    <row r="445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  <c r="AA445" s="40" t="n"/>
      <c r="AB445" s="40" t="n"/>
      <c r="AC445" s="40" t="n"/>
      <c r="AD445" s="40" t="n"/>
    </row>
    <row r="446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  <c r="AA446" s="40" t="n"/>
      <c r="AB446" s="40" t="n"/>
      <c r="AC446" s="40" t="n"/>
      <c r="AD446" s="40" t="n"/>
    </row>
    <row r="447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  <c r="AA447" s="40" t="n"/>
      <c r="AB447" s="40" t="n"/>
      <c r="AC447" s="40" t="n"/>
      <c r="AD447" s="40" t="n"/>
    </row>
    <row r="448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  <c r="AA448" s="40" t="n"/>
      <c r="AB448" s="40" t="n"/>
      <c r="AC448" s="40" t="n"/>
      <c r="AD448" s="40" t="n"/>
    </row>
    <row r="449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  <c r="AA449" s="40" t="n"/>
      <c r="AB449" s="40" t="n"/>
      <c r="AC449" s="40" t="n"/>
      <c r="AD449" s="40" t="n"/>
    </row>
    <row r="450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  <c r="AA450" s="40" t="n"/>
      <c r="AB450" s="40" t="n"/>
      <c r="AC450" s="40" t="n"/>
      <c r="AD450" s="40" t="n"/>
    </row>
    <row r="451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  <c r="AA451" s="40" t="n"/>
      <c r="AB451" s="40" t="n"/>
      <c r="AC451" s="40" t="n"/>
      <c r="AD451" s="40" t="n"/>
    </row>
    <row r="452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  <c r="AA452" s="40" t="n"/>
      <c r="AB452" s="40" t="n"/>
      <c r="AC452" s="40" t="n"/>
      <c r="AD452" s="40" t="n"/>
    </row>
    <row r="453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  <c r="AA453" s="40" t="n"/>
      <c r="AB453" s="40" t="n"/>
      <c r="AC453" s="40" t="n"/>
      <c r="AD453" s="40" t="n"/>
    </row>
    <row r="454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  <c r="AA454" s="40" t="n"/>
      <c r="AB454" s="40" t="n"/>
      <c r="AC454" s="40" t="n"/>
      <c r="AD454" s="40" t="n"/>
    </row>
    <row r="455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  <c r="AA455" s="40" t="n"/>
      <c r="AB455" s="40" t="n"/>
      <c r="AC455" s="40" t="n"/>
      <c r="AD455" s="40" t="n"/>
    </row>
    <row r="456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  <c r="AA456" s="40" t="n"/>
      <c r="AB456" s="40" t="n"/>
      <c r="AC456" s="40" t="n"/>
      <c r="AD456" s="40" t="n"/>
    </row>
    <row r="457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  <c r="AA457" s="40" t="n"/>
      <c r="AB457" s="40" t="n"/>
      <c r="AC457" s="40" t="n"/>
      <c r="AD457" s="40" t="n"/>
    </row>
    <row r="458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  <c r="AA458" s="40" t="n"/>
      <c r="AB458" s="40" t="n"/>
      <c r="AC458" s="40" t="n"/>
      <c r="AD458" s="40" t="n"/>
    </row>
    <row r="459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  <c r="AA459" s="40" t="n"/>
      <c r="AB459" s="40" t="n"/>
      <c r="AC459" s="40" t="n"/>
      <c r="AD459" s="40" t="n"/>
    </row>
    <row r="460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0" t="n"/>
      <c r="AB460" s="40" t="n"/>
      <c r="AC460" s="40" t="n"/>
      <c r="AD460" s="40" t="n"/>
    </row>
    <row r="461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  <c r="AA461" s="40" t="n"/>
      <c r="AB461" s="40" t="n"/>
      <c r="AC461" s="40" t="n"/>
      <c r="AD461" s="40" t="n"/>
    </row>
    <row r="462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  <c r="AA462" s="40" t="n"/>
      <c r="AB462" s="40" t="n"/>
      <c r="AC462" s="40" t="n"/>
      <c r="AD462" s="40" t="n"/>
    </row>
    <row r="463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  <c r="AA463" s="40" t="n"/>
      <c r="AB463" s="40" t="n"/>
      <c r="AC463" s="40" t="n"/>
      <c r="AD463" s="40" t="n"/>
    </row>
    <row r="464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  <c r="AA464" s="40" t="n"/>
      <c r="AB464" s="40" t="n"/>
      <c r="AC464" s="40" t="n"/>
      <c r="AD464" s="40" t="n"/>
    </row>
    <row r="465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  <c r="AA465" s="40" t="n"/>
      <c r="AB465" s="40" t="n"/>
      <c r="AC465" s="40" t="n"/>
      <c r="AD465" s="40" t="n"/>
    </row>
    <row r="466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  <c r="AA466" s="40" t="n"/>
      <c r="AB466" s="40" t="n"/>
      <c r="AC466" s="40" t="n"/>
      <c r="AD466" s="40" t="n"/>
    </row>
    <row r="467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  <c r="AA467" s="40" t="n"/>
      <c r="AB467" s="40" t="n"/>
      <c r="AC467" s="40" t="n"/>
      <c r="AD467" s="40" t="n"/>
    </row>
    <row r="468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  <c r="AA468" s="40" t="n"/>
      <c r="AB468" s="40" t="n"/>
      <c r="AC468" s="40" t="n"/>
      <c r="AD468" s="40" t="n"/>
    </row>
    <row r="469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  <c r="AA469" s="40" t="n"/>
      <c r="AB469" s="40" t="n"/>
      <c r="AC469" s="40" t="n"/>
      <c r="AD469" s="40" t="n"/>
    </row>
    <row r="470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  <c r="AA470" s="40" t="n"/>
      <c r="AB470" s="40" t="n"/>
      <c r="AC470" s="40" t="n"/>
      <c r="AD470" s="40" t="n"/>
    </row>
    <row r="471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  <c r="AA471" s="40" t="n"/>
      <c r="AB471" s="40" t="n"/>
      <c r="AC471" s="40" t="n"/>
      <c r="AD471" s="40" t="n"/>
    </row>
    <row r="472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  <c r="AA472" s="40" t="n"/>
      <c r="AB472" s="40" t="n"/>
      <c r="AC472" s="40" t="n"/>
      <c r="AD472" s="40" t="n"/>
    </row>
    <row r="473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  <c r="AA473" s="40" t="n"/>
      <c r="AB473" s="40" t="n"/>
      <c r="AC473" s="40" t="n"/>
      <c r="AD473" s="40" t="n"/>
    </row>
    <row r="474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  <c r="AA474" s="40" t="n"/>
      <c r="AB474" s="40" t="n"/>
      <c r="AC474" s="40" t="n"/>
      <c r="AD474" s="40" t="n"/>
    </row>
    <row r="475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  <c r="AA475" s="40" t="n"/>
      <c r="AB475" s="40" t="n"/>
      <c r="AC475" s="40" t="n"/>
      <c r="AD475" s="40" t="n"/>
    </row>
    <row r="476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  <c r="AA476" s="40" t="n"/>
      <c r="AB476" s="40" t="n"/>
      <c r="AC476" s="40" t="n"/>
      <c r="AD476" s="40" t="n"/>
    </row>
    <row r="477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  <c r="AA477" s="40" t="n"/>
      <c r="AB477" s="40" t="n"/>
      <c r="AC477" s="40" t="n"/>
      <c r="AD477" s="40" t="n"/>
    </row>
    <row r="478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  <c r="AA478" s="40" t="n"/>
      <c r="AB478" s="40" t="n"/>
      <c r="AC478" s="40" t="n"/>
      <c r="AD478" s="40" t="n"/>
    </row>
    <row r="479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  <c r="AA479" s="40" t="n"/>
      <c r="AB479" s="40" t="n"/>
      <c r="AC479" s="40" t="n"/>
      <c r="AD479" s="40" t="n"/>
    </row>
    <row r="480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  <c r="AA480" s="40" t="n"/>
      <c r="AB480" s="40" t="n"/>
      <c r="AC480" s="40" t="n"/>
      <c r="AD480" s="40" t="n"/>
    </row>
    <row r="481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  <c r="AA481" s="40" t="n"/>
      <c r="AB481" s="40" t="n"/>
      <c r="AC481" s="40" t="n"/>
      <c r="AD481" s="40" t="n"/>
    </row>
    <row r="482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  <c r="AA482" s="40" t="n"/>
      <c r="AB482" s="40" t="n"/>
      <c r="AC482" s="40" t="n"/>
      <c r="AD482" s="40" t="n"/>
    </row>
    <row r="483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  <c r="AA483" s="40" t="n"/>
      <c r="AB483" s="40" t="n"/>
      <c r="AC483" s="40" t="n"/>
      <c r="AD483" s="40" t="n"/>
    </row>
    <row r="484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  <c r="AA484" s="40" t="n"/>
      <c r="AB484" s="40" t="n"/>
      <c r="AC484" s="40" t="n"/>
      <c r="AD484" s="40" t="n"/>
    </row>
    <row r="485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  <c r="AA485" s="40" t="n"/>
      <c r="AB485" s="40" t="n"/>
      <c r="AC485" s="40" t="n"/>
      <c r="AD485" s="40" t="n"/>
    </row>
    <row r="486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  <c r="AA486" s="40" t="n"/>
      <c r="AB486" s="40" t="n"/>
      <c r="AC486" s="40" t="n"/>
      <c r="AD486" s="40" t="n"/>
    </row>
    <row r="487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  <c r="AA487" s="40" t="n"/>
      <c r="AB487" s="40" t="n"/>
      <c r="AC487" s="40" t="n"/>
      <c r="AD487" s="40" t="n"/>
    </row>
    <row r="488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  <c r="AA488" s="40" t="n"/>
      <c r="AB488" s="40" t="n"/>
      <c r="AC488" s="40" t="n"/>
      <c r="AD488" s="40" t="n"/>
    </row>
    <row r="489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  <c r="AA489" s="40" t="n"/>
      <c r="AB489" s="40" t="n"/>
      <c r="AC489" s="40" t="n"/>
      <c r="AD489" s="40" t="n"/>
    </row>
    <row r="490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  <c r="AA490" s="40" t="n"/>
      <c r="AB490" s="40" t="n"/>
      <c r="AC490" s="40" t="n"/>
      <c r="AD490" s="40" t="n"/>
    </row>
    <row r="491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  <c r="AA491" s="40" t="n"/>
      <c r="AB491" s="40" t="n"/>
      <c r="AC491" s="40" t="n"/>
      <c r="AD491" s="40" t="n"/>
    </row>
    <row r="492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  <c r="AA492" s="40" t="n"/>
      <c r="AB492" s="40" t="n"/>
      <c r="AC492" s="40" t="n"/>
      <c r="AD492" s="40" t="n"/>
    </row>
    <row r="493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  <c r="AA493" s="40" t="n"/>
      <c r="AB493" s="40" t="n"/>
      <c r="AC493" s="40" t="n"/>
      <c r="AD493" s="40" t="n"/>
    </row>
    <row r="494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  <c r="AA494" s="40" t="n"/>
      <c r="AB494" s="40" t="n"/>
      <c r="AC494" s="40" t="n"/>
      <c r="AD494" s="40" t="n"/>
    </row>
    <row r="495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  <c r="AA495" s="40" t="n"/>
      <c r="AB495" s="40" t="n"/>
      <c r="AC495" s="40" t="n"/>
      <c r="AD495" s="40" t="n"/>
    </row>
    <row r="496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  <c r="AA496" s="40" t="n"/>
      <c r="AB496" s="40" t="n"/>
      <c r="AC496" s="40" t="n"/>
      <c r="AD496" s="40" t="n"/>
    </row>
    <row r="497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  <c r="AA497" s="40" t="n"/>
      <c r="AB497" s="40" t="n"/>
      <c r="AC497" s="40" t="n"/>
      <c r="AD497" s="40" t="n"/>
    </row>
    <row r="498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  <c r="AA498" s="40" t="n"/>
      <c r="AB498" s="40" t="n"/>
      <c r="AC498" s="40" t="n"/>
      <c r="AD498" s="40" t="n"/>
    </row>
    <row r="499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  <c r="AA499" s="40" t="n"/>
      <c r="AB499" s="40" t="n"/>
      <c r="AC499" s="40" t="n"/>
      <c r="AD499" s="40" t="n"/>
    </row>
    <row r="500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  <c r="AA500" s="40" t="n"/>
      <c r="AB500" s="40" t="n"/>
      <c r="AC500" s="40" t="n"/>
      <c r="AD500" s="40" t="n"/>
    </row>
    <row r="501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  <c r="AA501" s="40" t="n"/>
      <c r="AB501" s="40" t="n"/>
      <c r="AC501" s="40" t="n"/>
      <c r="AD501" s="40" t="n"/>
    </row>
    <row r="502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  <c r="AA502" s="40" t="n"/>
      <c r="AB502" s="40" t="n"/>
      <c r="AC502" s="40" t="n"/>
      <c r="AD502" s="40" t="n"/>
    </row>
    <row r="503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  <c r="AA503" s="40" t="n"/>
      <c r="AB503" s="40" t="n"/>
      <c r="AC503" s="40" t="n"/>
      <c r="AD503" s="40" t="n"/>
    </row>
    <row r="504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  <c r="AA504" s="40" t="n"/>
      <c r="AB504" s="40" t="n"/>
      <c r="AC504" s="40" t="n"/>
      <c r="AD504" s="40" t="n"/>
    </row>
    <row r="505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  <c r="AA505" s="40" t="n"/>
      <c r="AB505" s="40" t="n"/>
      <c r="AC505" s="40" t="n"/>
      <c r="AD505" s="40" t="n"/>
    </row>
    <row r="506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  <c r="AA506" s="40" t="n"/>
      <c r="AB506" s="40" t="n"/>
      <c r="AC506" s="40" t="n"/>
      <c r="AD506" s="40" t="n"/>
    </row>
    <row r="507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  <c r="AA507" s="40" t="n"/>
      <c r="AB507" s="40" t="n"/>
      <c r="AC507" s="40" t="n"/>
      <c r="AD507" s="40" t="n"/>
    </row>
    <row r="508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  <c r="AA508" s="40" t="n"/>
      <c r="AB508" s="40" t="n"/>
      <c r="AC508" s="40" t="n"/>
      <c r="AD508" s="40" t="n"/>
    </row>
    <row r="509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  <c r="AA509" s="40" t="n"/>
      <c r="AB509" s="40" t="n"/>
      <c r="AC509" s="40" t="n"/>
      <c r="AD509" s="40" t="n"/>
    </row>
    <row r="510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  <c r="AA510" s="40" t="n"/>
      <c r="AB510" s="40" t="n"/>
      <c r="AC510" s="40" t="n"/>
      <c r="AD510" s="40" t="n"/>
    </row>
    <row r="511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  <c r="AA511" s="40" t="n"/>
      <c r="AB511" s="40" t="n"/>
      <c r="AC511" s="40" t="n"/>
      <c r="AD511" s="40" t="n"/>
    </row>
    <row r="512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  <c r="AA512" s="40" t="n"/>
      <c r="AB512" s="40" t="n"/>
      <c r="AC512" s="40" t="n"/>
      <c r="AD512" s="40" t="n"/>
    </row>
    <row r="513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  <c r="AA513" s="40" t="n"/>
      <c r="AB513" s="40" t="n"/>
      <c r="AC513" s="40" t="n"/>
      <c r="AD513" s="40" t="n"/>
    </row>
    <row r="514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  <c r="AA514" s="40" t="n"/>
      <c r="AB514" s="40" t="n"/>
      <c r="AC514" s="40" t="n"/>
      <c r="AD514" s="40" t="n"/>
    </row>
    <row r="515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  <c r="AA515" s="40" t="n"/>
      <c r="AB515" s="40" t="n"/>
      <c r="AC515" s="40" t="n"/>
      <c r="AD515" s="40" t="n"/>
    </row>
    <row r="516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  <c r="AA516" s="40" t="n"/>
      <c r="AB516" s="40" t="n"/>
      <c r="AC516" s="40" t="n"/>
      <c r="AD516" s="40" t="n"/>
    </row>
    <row r="517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  <c r="AA517" s="40" t="n"/>
      <c r="AB517" s="40" t="n"/>
      <c r="AC517" s="40" t="n"/>
      <c r="AD517" s="40" t="n"/>
    </row>
    <row r="518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  <c r="AA518" s="40" t="n"/>
      <c r="AB518" s="40" t="n"/>
      <c r="AC518" s="40" t="n"/>
      <c r="AD518" s="40" t="n"/>
    </row>
    <row r="519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  <c r="AA519" s="40" t="n"/>
      <c r="AB519" s="40" t="n"/>
      <c r="AC519" s="40" t="n"/>
      <c r="AD519" s="40" t="n"/>
    </row>
    <row r="520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  <c r="AA520" s="40" t="n"/>
      <c r="AB520" s="40" t="n"/>
      <c r="AC520" s="40" t="n"/>
      <c r="AD520" s="40" t="n"/>
    </row>
    <row r="521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  <c r="AA521" s="40" t="n"/>
      <c r="AB521" s="40" t="n"/>
      <c r="AC521" s="40" t="n"/>
      <c r="AD521" s="40" t="n"/>
    </row>
    <row r="522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  <c r="AA522" s="40" t="n"/>
      <c r="AB522" s="40" t="n"/>
      <c r="AC522" s="40" t="n"/>
      <c r="AD522" s="40" t="n"/>
    </row>
    <row r="523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  <c r="AA523" s="40" t="n"/>
      <c r="AB523" s="40" t="n"/>
      <c r="AC523" s="40" t="n"/>
      <c r="AD523" s="40" t="n"/>
    </row>
    <row r="524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  <c r="AA524" s="40" t="n"/>
      <c r="AB524" s="40" t="n"/>
      <c r="AC524" s="40" t="n"/>
      <c r="AD524" s="40" t="n"/>
    </row>
    <row r="525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  <c r="AA525" s="40" t="n"/>
      <c r="AB525" s="40" t="n"/>
      <c r="AC525" s="40" t="n"/>
      <c r="AD525" s="40" t="n"/>
    </row>
    <row r="526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  <c r="AA526" s="40" t="n"/>
      <c r="AB526" s="40" t="n"/>
      <c r="AC526" s="40" t="n"/>
      <c r="AD526" s="40" t="n"/>
    </row>
    <row r="527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0" t="n"/>
      <c r="AB527" s="40" t="n"/>
      <c r="AC527" s="40" t="n"/>
      <c r="AD527" s="40" t="n"/>
    </row>
    <row r="528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  <c r="AA528" s="40" t="n"/>
      <c r="AB528" s="40" t="n"/>
      <c r="AC528" s="40" t="n"/>
      <c r="AD528" s="40" t="n"/>
    </row>
    <row r="529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  <c r="AA529" s="40" t="n"/>
      <c r="AB529" s="40" t="n"/>
      <c r="AC529" s="40" t="n"/>
      <c r="AD529" s="40" t="n"/>
    </row>
    <row r="530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  <c r="AA530" s="40" t="n"/>
      <c r="AB530" s="40" t="n"/>
      <c r="AC530" s="40" t="n"/>
      <c r="AD530" s="40" t="n"/>
    </row>
    <row r="531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  <c r="AA531" s="40" t="n"/>
      <c r="AB531" s="40" t="n"/>
      <c r="AC531" s="40" t="n"/>
      <c r="AD531" s="40" t="n"/>
    </row>
    <row r="532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  <c r="AA532" s="40" t="n"/>
      <c r="AB532" s="40" t="n"/>
      <c r="AC532" s="40" t="n"/>
      <c r="AD532" s="40" t="n"/>
    </row>
    <row r="533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  <c r="AA533" s="40" t="n"/>
      <c r="AB533" s="40" t="n"/>
      <c r="AC533" s="40" t="n"/>
      <c r="AD533" s="40" t="n"/>
    </row>
    <row r="534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  <c r="AA534" s="40" t="n"/>
      <c r="AB534" s="40" t="n"/>
      <c r="AC534" s="40" t="n"/>
      <c r="AD534" s="40" t="n"/>
    </row>
    <row r="535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  <c r="AA535" s="40" t="n"/>
      <c r="AB535" s="40" t="n"/>
      <c r="AC535" s="40" t="n"/>
      <c r="AD535" s="40" t="n"/>
    </row>
    <row r="536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  <c r="AA536" s="40" t="n"/>
      <c r="AB536" s="40" t="n"/>
      <c r="AC536" s="40" t="n"/>
      <c r="AD536" s="40" t="n"/>
    </row>
    <row r="537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  <c r="AA537" s="40" t="n"/>
      <c r="AB537" s="40" t="n"/>
      <c r="AC537" s="40" t="n"/>
      <c r="AD537" s="40" t="n"/>
    </row>
    <row r="538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  <c r="AA538" s="40" t="n"/>
      <c r="AB538" s="40" t="n"/>
      <c r="AC538" s="40" t="n"/>
      <c r="AD538" s="40" t="n"/>
    </row>
    <row r="539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  <c r="AA539" s="40" t="n"/>
      <c r="AB539" s="40" t="n"/>
      <c r="AC539" s="40" t="n"/>
      <c r="AD539" s="40" t="n"/>
    </row>
    <row r="540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  <c r="AA540" s="40" t="n"/>
      <c r="AB540" s="40" t="n"/>
      <c r="AC540" s="40" t="n"/>
      <c r="AD540" s="40" t="n"/>
    </row>
    <row r="541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  <c r="AA541" s="40" t="n"/>
      <c r="AB541" s="40" t="n"/>
      <c r="AC541" s="40" t="n"/>
      <c r="AD541" s="40" t="n"/>
    </row>
    <row r="542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  <c r="AA542" s="40" t="n"/>
      <c r="AB542" s="40" t="n"/>
      <c r="AC542" s="40" t="n"/>
      <c r="AD542" s="40" t="n"/>
    </row>
    <row r="543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  <c r="AA543" s="40" t="n"/>
      <c r="AB543" s="40" t="n"/>
      <c r="AC543" s="40" t="n"/>
      <c r="AD543" s="40" t="n"/>
    </row>
    <row r="544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  <c r="AA544" s="40" t="n"/>
      <c r="AB544" s="40" t="n"/>
      <c r="AC544" s="40" t="n"/>
      <c r="AD544" s="40" t="n"/>
    </row>
    <row r="545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40" t="n"/>
      <c r="AB545" s="40" t="n"/>
      <c r="AC545" s="40" t="n"/>
      <c r="AD545" s="40" t="n"/>
    </row>
    <row r="546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  <c r="AA546" s="40" t="n"/>
      <c r="AB546" s="40" t="n"/>
      <c r="AC546" s="40" t="n"/>
      <c r="AD546" s="40" t="n"/>
    </row>
    <row r="547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  <c r="AA547" s="40" t="n"/>
      <c r="AB547" s="40" t="n"/>
      <c r="AC547" s="40" t="n"/>
      <c r="AD547" s="40" t="n"/>
    </row>
    <row r="548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  <c r="AA548" s="40" t="n"/>
      <c r="AB548" s="40" t="n"/>
      <c r="AC548" s="40" t="n"/>
      <c r="AD548" s="40" t="n"/>
    </row>
    <row r="549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  <c r="AA549" s="40" t="n"/>
      <c r="AB549" s="40" t="n"/>
      <c r="AC549" s="40" t="n"/>
      <c r="AD549" s="40" t="n"/>
    </row>
    <row r="550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  <c r="AA550" s="40" t="n"/>
      <c r="AB550" s="40" t="n"/>
      <c r="AC550" s="40" t="n"/>
      <c r="AD550" s="40" t="n"/>
    </row>
    <row r="551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  <c r="AA551" s="40" t="n"/>
      <c r="AB551" s="40" t="n"/>
      <c r="AC551" s="40" t="n"/>
      <c r="AD551" s="40" t="n"/>
    </row>
    <row r="552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  <c r="AA552" s="40" t="n"/>
      <c r="AB552" s="40" t="n"/>
      <c r="AC552" s="40" t="n"/>
      <c r="AD552" s="40" t="n"/>
    </row>
    <row r="553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  <c r="AA553" s="40" t="n"/>
      <c r="AB553" s="40" t="n"/>
      <c r="AC553" s="40" t="n"/>
      <c r="AD553" s="40" t="n"/>
    </row>
    <row r="554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  <c r="AA554" s="40" t="n"/>
      <c r="AB554" s="40" t="n"/>
      <c r="AC554" s="40" t="n"/>
      <c r="AD554" s="40" t="n"/>
    </row>
    <row r="555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  <c r="AA555" s="40" t="n"/>
      <c r="AB555" s="40" t="n"/>
      <c r="AC555" s="40" t="n"/>
      <c r="AD555" s="40" t="n"/>
    </row>
    <row r="556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  <c r="AA556" s="40" t="n"/>
      <c r="AB556" s="40" t="n"/>
      <c r="AC556" s="40" t="n"/>
      <c r="AD556" s="40" t="n"/>
    </row>
    <row r="557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  <c r="AA557" s="40" t="n"/>
      <c r="AB557" s="40" t="n"/>
      <c r="AC557" s="40" t="n"/>
      <c r="AD557" s="40" t="n"/>
    </row>
    <row r="558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  <c r="AA558" s="40" t="n"/>
      <c r="AB558" s="40" t="n"/>
      <c r="AC558" s="40" t="n"/>
      <c r="AD558" s="40" t="n"/>
    </row>
    <row r="559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  <c r="AA559" s="40" t="n"/>
      <c r="AB559" s="40" t="n"/>
      <c r="AC559" s="40" t="n"/>
      <c r="AD559" s="40" t="n"/>
    </row>
    <row r="560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  <c r="AA560" s="40" t="n"/>
      <c r="AB560" s="40" t="n"/>
      <c r="AC560" s="40" t="n"/>
      <c r="AD560" s="40" t="n"/>
    </row>
    <row r="561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  <c r="AA561" s="40" t="n"/>
      <c r="AB561" s="40" t="n"/>
      <c r="AC561" s="40" t="n"/>
      <c r="AD561" s="40" t="n"/>
    </row>
    <row r="562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  <c r="AA562" s="40" t="n"/>
      <c r="AB562" s="40" t="n"/>
      <c r="AC562" s="40" t="n"/>
      <c r="AD562" s="40" t="n"/>
    </row>
    <row r="563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  <c r="AA563" s="40" t="n"/>
      <c r="AB563" s="40" t="n"/>
      <c r="AC563" s="40" t="n"/>
      <c r="AD563" s="40" t="n"/>
    </row>
    <row r="564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  <c r="AA564" s="40" t="n"/>
      <c r="AB564" s="40" t="n"/>
      <c r="AC564" s="40" t="n"/>
      <c r="AD564" s="40" t="n"/>
    </row>
    <row r="565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  <c r="AA565" s="40" t="n"/>
      <c r="AB565" s="40" t="n"/>
      <c r="AC565" s="40" t="n"/>
      <c r="AD565" s="40" t="n"/>
    </row>
    <row r="566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  <c r="AA566" s="40" t="n"/>
      <c r="AB566" s="40" t="n"/>
      <c r="AC566" s="40" t="n"/>
      <c r="AD566" s="40" t="n"/>
    </row>
    <row r="567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  <c r="AA567" s="40" t="n"/>
      <c r="AB567" s="40" t="n"/>
      <c r="AC567" s="40" t="n"/>
      <c r="AD567" s="40" t="n"/>
    </row>
    <row r="568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  <c r="AA568" s="40" t="n"/>
      <c r="AB568" s="40" t="n"/>
      <c r="AC568" s="40" t="n"/>
      <c r="AD568" s="40" t="n"/>
    </row>
    <row r="569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  <c r="AA569" s="40" t="n"/>
      <c r="AB569" s="40" t="n"/>
      <c r="AC569" s="40" t="n"/>
      <c r="AD569" s="40" t="n"/>
    </row>
    <row r="570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  <c r="AA570" s="40" t="n"/>
      <c r="AB570" s="40" t="n"/>
      <c r="AC570" s="40" t="n"/>
      <c r="AD570" s="40" t="n"/>
    </row>
    <row r="571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  <c r="AA571" s="40" t="n"/>
      <c r="AB571" s="40" t="n"/>
      <c r="AC571" s="40" t="n"/>
      <c r="AD571" s="40" t="n"/>
    </row>
    <row r="572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  <c r="AA572" s="40" t="n"/>
      <c r="AB572" s="40" t="n"/>
      <c r="AC572" s="40" t="n"/>
      <c r="AD572" s="40" t="n"/>
    </row>
    <row r="573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  <c r="AA573" s="40" t="n"/>
      <c r="AB573" s="40" t="n"/>
      <c r="AC573" s="40" t="n"/>
      <c r="AD573" s="40" t="n"/>
    </row>
    <row r="574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  <c r="AA574" s="40" t="n"/>
      <c r="AB574" s="40" t="n"/>
      <c r="AC574" s="40" t="n"/>
      <c r="AD574" s="40" t="n"/>
    </row>
    <row r="575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  <c r="AA575" s="40" t="n"/>
      <c r="AB575" s="40" t="n"/>
      <c r="AC575" s="40" t="n"/>
      <c r="AD575" s="40" t="n"/>
    </row>
    <row r="576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  <c r="AA576" s="40" t="n"/>
      <c r="AB576" s="40" t="n"/>
      <c r="AC576" s="40" t="n"/>
      <c r="AD576" s="40" t="n"/>
    </row>
    <row r="577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  <c r="AA577" s="40" t="n"/>
      <c r="AB577" s="40" t="n"/>
      <c r="AC577" s="40" t="n"/>
      <c r="AD577" s="40" t="n"/>
    </row>
    <row r="578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  <c r="AA578" s="40" t="n"/>
      <c r="AB578" s="40" t="n"/>
      <c r="AC578" s="40" t="n"/>
      <c r="AD578" s="40" t="n"/>
    </row>
    <row r="579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  <c r="AA579" s="40" t="n"/>
      <c r="AB579" s="40" t="n"/>
      <c r="AC579" s="40" t="n"/>
      <c r="AD579" s="40" t="n"/>
    </row>
    <row r="580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  <c r="AA580" s="40" t="n"/>
      <c r="AB580" s="40" t="n"/>
      <c r="AC580" s="40" t="n"/>
      <c r="AD580" s="40" t="n"/>
    </row>
    <row r="581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  <c r="AA581" s="40" t="n"/>
      <c r="AB581" s="40" t="n"/>
      <c r="AC581" s="40" t="n"/>
      <c r="AD581" s="40" t="n"/>
    </row>
    <row r="582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  <c r="AA582" s="40" t="n"/>
      <c r="AB582" s="40" t="n"/>
      <c r="AC582" s="40" t="n"/>
      <c r="AD582" s="40" t="n"/>
    </row>
    <row r="583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  <c r="AA583" s="40" t="n"/>
      <c r="AB583" s="40" t="n"/>
      <c r="AC583" s="40" t="n"/>
      <c r="AD583" s="40" t="n"/>
    </row>
    <row r="584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  <c r="AA584" s="40" t="n"/>
      <c r="AB584" s="40" t="n"/>
      <c r="AC584" s="40" t="n"/>
      <c r="AD584" s="40" t="n"/>
    </row>
    <row r="585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  <c r="AA585" s="40" t="n"/>
      <c r="AB585" s="40" t="n"/>
      <c r="AC585" s="40" t="n"/>
      <c r="AD585" s="40" t="n"/>
    </row>
    <row r="586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  <c r="AA586" s="40" t="n"/>
      <c r="AB586" s="40" t="n"/>
      <c r="AC586" s="40" t="n"/>
      <c r="AD586" s="40" t="n"/>
    </row>
    <row r="587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  <c r="AA587" s="40" t="n"/>
      <c r="AB587" s="40" t="n"/>
      <c r="AC587" s="40" t="n"/>
      <c r="AD587" s="40" t="n"/>
    </row>
    <row r="588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  <c r="AA588" s="40" t="n"/>
      <c r="AB588" s="40" t="n"/>
      <c r="AC588" s="40" t="n"/>
      <c r="AD588" s="40" t="n"/>
    </row>
    <row r="589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  <c r="AA589" s="40" t="n"/>
      <c r="AB589" s="40" t="n"/>
      <c r="AC589" s="40" t="n"/>
      <c r="AD589" s="40" t="n"/>
    </row>
    <row r="590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  <c r="AA590" s="40" t="n"/>
      <c r="AB590" s="40" t="n"/>
      <c r="AC590" s="40" t="n"/>
      <c r="AD590" s="40" t="n"/>
    </row>
    <row r="591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  <c r="AA591" s="40" t="n"/>
      <c r="AB591" s="40" t="n"/>
      <c r="AC591" s="40" t="n"/>
      <c r="AD591" s="40" t="n"/>
    </row>
    <row r="592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  <c r="AA592" s="40" t="n"/>
      <c r="AB592" s="40" t="n"/>
      <c r="AC592" s="40" t="n"/>
      <c r="AD592" s="40" t="n"/>
    </row>
    <row r="593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  <c r="AA593" s="40" t="n"/>
      <c r="AB593" s="40" t="n"/>
      <c r="AC593" s="40" t="n"/>
      <c r="AD593" s="40" t="n"/>
    </row>
    <row r="594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  <c r="AA594" s="40" t="n"/>
      <c r="AB594" s="40" t="n"/>
      <c r="AC594" s="40" t="n"/>
      <c r="AD594" s="40" t="n"/>
    </row>
    <row r="595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  <c r="AA595" s="40" t="n"/>
      <c r="AB595" s="40" t="n"/>
      <c r="AC595" s="40" t="n"/>
      <c r="AD595" s="40" t="n"/>
    </row>
    <row r="596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  <c r="AA596" s="40" t="n"/>
      <c r="AB596" s="40" t="n"/>
      <c r="AC596" s="40" t="n"/>
      <c r="AD596" s="40" t="n"/>
    </row>
    <row r="597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  <c r="AA597" s="40" t="n"/>
      <c r="AB597" s="40" t="n"/>
      <c r="AC597" s="40" t="n"/>
      <c r="AD597" s="40" t="n"/>
    </row>
    <row r="598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  <c r="AA598" s="40" t="n"/>
      <c r="AB598" s="40" t="n"/>
      <c r="AC598" s="40" t="n"/>
      <c r="AD598" s="40" t="n"/>
    </row>
    <row r="599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  <c r="AA599" s="40" t="n"/>
      <c r="AB599" s="40" t="n"/>
      <c r="AC599" s="40" t="n"/>
      <c r="AD599" s="40" t="n"/>
    </row>
    <row r="600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  <c r="AA600" s="40" t="n"/>
      <c r="AB600" s="40" t="n"/>
      <c r="AC600" s="40" t="n"/>
      <c r="AD600" s="40" t="n"/>
    </row>
    <row r="601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  <c r="AA601" s="40" t="n"/>
      <c r="AB601" s="40" t="n"/>
      <c r="AC601" s="40" t="n"/>
      <c r="AD601" s="40" t="n"/>
    </row>
    <row r="602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  <c r="AA602" s="40" t="n"/>
      <c r="AB602" s="40" t="n"/>
      <c r="AC602" s="40" t="n"/>
      <c r="AD602" s="40" t="n"/>
    </row>
    <row r="603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  <c r="AA603" s="40" t="n"/>
      <c r="AB603" s="40" t="n"/>
      <c r="AC603" s="40" t="n"/>
      <c r="AD603" s="40" t="n"/>
    </row>
    <row r="604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  <c r="AA604" s="40" t="n"/>
      <c r="AB604" s="40" t="n"/>
      <c r="AC604" s="40" t="n"/>
      <c r="AD604" s="40" t="n"/>
    </row>
    <row r="605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  <c r="AA605" s="40" t="n"/>
      <c r="AB605" s="40" t="n"/>
      <c r="AC605" s="40" t="n"/>
      <c r="AD605" s="40" t="n"/>
    </row>
    <row r="606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  <c r="AA606" s="40" t="n"/>
      <c r="AB606" s="40" t="n"/>
      <c r="AC606" s="40" t="n"/>
      <c r="AD606" s="40" t="n"/>
    </row>
    <row r="607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  <c r="AA607" s="40" t="n"/>
      <c r="AB607" s="40" t="n"/>
      <c r="AC607" s="40" t="n"/>
      <c r="AD607" s="40" t="n"/>
    </row>
    <row r="608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  <c r="AA608" s="40" t="n"/>
      <c r="AB608" s="40" t="n"/>
      <c r="AC608" s="40" t="n"/>
      <c r="AD608" s="40" t="n"/>
    </row>
    <row r="609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  <c r="AA609" s="40" t="n"/>
      <c r="AB609" s="40" t="n"/>
      <c r="AC609" s="40" t="n"/>
      <c r="AD609" s="40" t="n"/>
    </row>
    <row r="610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  <c r="AA610" s="40" t="n"/>
      <c r="AB610" s="40" t="n"/>
      <c r="AC610" s="40" t="n"/>
      <c r="AD610" s="40" t="n"/>
    </row>
    <row r="611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  <c r="AA611" s="40" t="n"/>
      <c r="AB611" s="40" t="n"/>
      <c r="AC611" s="40" t="n"/>
      <c r="AD611" s="40" t="n"/>
    </row>
    <row r="612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  <c r="AA612" s="40" t="n"/>
      <c r="AB612" s="40" t="n"/>
      <c r="AC612" s="40" t="n"/>
      <c r="AD612" s="40" t="n"/>
    </row>
    <row r="613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  <c r="AA613" s="40" t="n"/>
      <c r="AB613" s="40" t="n"/>
      <c r="AC613" s="40" t="n"/>
      <c r="AD613" s="40" t="n"/>
    </row>
    <row r="614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  <c r="AA614" s="40" t="n"/>
      <c r="AB614" s="40" t="n"/>
      <c r="AC614" s="40" t="n"/>
      <c r="AD614" s="40" t="n"/>
    </row>
    <row r="615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  <c r="AA615" s="40" t="n"/>
      <c r="AB615" s="40" t="n"/>
      <c r="AC615" s="40" t="n"/>
      <c r="AD615" s="40" t="n"/>
    </row>
    <row r="616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  <c r="AA616" s="40" t="n"/>
      <c r="AB616" s="40" t="n"/>
      <c r="AC616" s="40" t="n"/>
      <c r="AD616" s="40" t="n"/>
    </row>
    <row r="617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  <c r="AA617" s="40" t="n"/>
      <c r="AB617" s="40" t="n"/>
      <c r="AC617" s="40" t="n"/>
      <c r="AD617" s="40" t="n"/>
    </row>
    <row r="618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  <c r="AA618" s="40" t="n"/>
      <c r="AB618" s="40" t="n"/>
      <c r="AC618" s="40" t="n"/>
      <c r="AD618" s="40" t="n"/>
    </row>
    <row r="619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  <c r="AA619" s="40" t="n"/>
      <c r="AB619" s="40" t="n"/>
      <c r="AC619" s="40" t="n"/>
      <c r="AD619" s="40" t="n"/>
    </row>
    <row r="620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  <c r="AA620" s="40" t="n"/>
      <c r="AB620" s="40" t="n"/>
      <c r="AC620" s="40" t="n"/>
      <c r="AD620" s="40" t="n"/>
    </row>
    <row r="621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  <c r="AA621" s="40" t="n"/>
      <c r="AB621" s="40" t="n"/>
      <c r="AC621" s="40" t="n"/>
      <c r="AD621" s="40" t="n"/>
    </row>
    <row r="622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  <c r="AA622" s="40" t="n"/>
      <c r="AB622" s="40" t="n"/>
      <c r="AC622" s="40" t="n"/>
      <c r="AD622" s="40" t="n"/>
    </row>
    <row r="623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  <c r="AA623" s="40" t="n"/>
      <c r="AB623" s="40" t="n"/>
      <c r="AC623" s="40" t="n"/>
      <c r="AD623" s="40" t="n"/>
    </row>
    <row r="624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  <c r="AA624" s="40" t="n"/>
      <c r="AB624" s="40" t="n"/>
      <c r="AC624" s="40" t="n"/>
      <c r="AD624" s="40" t="n"/>
    </row>
    <row r="625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  <c r="AA625" s="40" t="n"/>
      <c r="AB625" s="40" t="n"/>
      <c r="AC625" s="40" t="n"/>
      <c r="AD625" s="40" t="n"/>
    </row>
    <row r="626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  <c r="AA626" s="40" t="n"/>
      <c r="AB626" s="40" t="n"/>
      <c r="AC626" s="40" t="n"/>
      <c r="AD626" s="40" t="n"/>
    </row>
    <row r="627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  <c r="AA627" s="40" t="n"/>
      <c r="AB627" s="40" t="n"/>
      <c r="AC627" s="40" t="n"/>
      <c r="AD627" s="40" t="n"/>
    </row>
    <row r="628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  <c r="AA628" s="40" t="n"/>
      <c r="AB628" s="40" t="n"/>
      <c r="AC628" s="40" t="n"/>
      <c r="AD628" s="40" t="n"/>
    </row>
    <row r="629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  <c r="AA629" s="40" t="n"/>
      <c r="AB629" s="40" t="n"/>
      <c r="AC629" s="40" t="n"/>
      <c r="AD629" s="40" t="n"/>
    </row>
    <row r="630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  <c r="AA630" s="40" t="n"/>
      <c r="AB630" s="40" t="n"/>
      <c r="AC630" s="40" t="n"/>
      <c r="AD630" s="40" t="n"/>
    </row>
    <row r="631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  <c r="AA631" s="40" t="n"/>
      <c r="AB631" s="40" t="n"/>
      <c r="AC631" s="40" t="n"/>
      <c r="AD631" s="40" t="n"/>
    </row>
    <row r="632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  <c r="AA632" s="40" t="n"/>
      <c r="AB632" s="40" t="n"/>
      <c r="AC632" s="40" t="n"/>
      <c r="AD632" s="40" t="n"/>
    </row>
    <row r="633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  <c r="AA633" s="40" t="n"/>
      <c r="AB633" s="40" t="n"/>
      <c r="AC633" s="40" t="n"/>
      <c r="AD633" s="40" t="n"/>
    </row>
    <row r="634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  <c r="AA634" s="40" t="n"/>
      <c r="AB634" s="40" t="n"/>
      <c r="AC634" s="40" t="n"/>
      <c r="AD634" s="40" t="n"/>
    </row>
    <row r="635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  <c r="AA635" s="40" t="n"/>
      <c r="AB635" s="40" t="n"/>
      <c r="AC635" s="40" t="n"/>
      <c r="AD635" s="40" t="n"/>
    </row>
    <row r="636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  <c r="AA636" s="40" t="n"/>
      <c r="AB636" s="40" t="n"/>
      <c r="AC636" s="40" t="n"/>
      <c r="AD636" s="40" t="n"/>
    </row>
    <row r="637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  <c r="AA637" s="40" t="n"/>
      <c r="AB637" s="40" t="n"/>
      <c r="AC637" s="40" t="n"/>
      <c r="AD637" s="40" t="n"/>
    </row>
    <row r="638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  <c r="AA638" s="40" t="n"/>
      <c r="AB638" s="40" t="n"/>
      <c r="AC638" s="40" t="n"/>
      <c r="AD638" s="40" t="n"/>
    </row>
    <row r="639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  <c r="AA639" s="40" t="n"/>
      <c r="AB639" s="40" t="n"/>
      <c r="AC639" s="40" t="n"/>
      <c r="AD639" s="40" t="n"/>
    </row>
    <row r="640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  <c r="AA640" s="40" t="n"/>
      <c r="AB640" s="40" t="n"/>
      <c r="AC640" s="40" t="n"/>
      <c r="AD640" s="40" t="n"/>
    </row>
    <row r="641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  <c r="AA641" s="40" t="n"/>
      <c r="AB641" s="40" t="n"/>
      <c r="AC641" s="40" t="n"/>
      <c r="AD641" s="40" t="n"/>
    </row>
    <row r="642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  <c r="AA642" s="40" t="n"/>
      <c r="AB642" s="40" t="n"/>
      <c r="AC642" s="40" t="n"/>
      <c r="AD642" s="40" t="n"/>
    </row>
    <row r="643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  <c r="AA643" s="40" t="n"/>
      <c r="AB643" s="40" t="n"/>
      <c r="AC643" s="40" t="n"/>
      <c r="AD643" s="40" t="n"/>
    </row>
    <row r="644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  <c r="AA644" s="40" t="n"/>
      <c r="AB644" s="40" t="n"/>
      <c r="AC644" s="40" t="n"/>
      <c r="AD644" s="40" t="n"/>
    </row>
    <row r="645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  <c r="AA645" s="40" t="n"/>
      <c r="AB645" s="40" t="n"/>
      <c r="AC645" s="40" t="n"/>
      <c r="AD645" s="40" t="n"/>
    </row>
    <row r="646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  <c r="AA646" s="40" t="n"/>
      <c r="AB646" s="40" t="n"/>
      <c r="AC646" s="40" t="n"/>
      <c r="AD646" s="40" t="n"/>
    </row>
    <row r="647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  <c r="AA647" s="40" t="n"/>
      <c r="AB647" s="40" t="n"/>
      <c r="AC647" s="40" t="n"/>
      <c r="AD647" s="40" t="n"/>
    </row>
    <row r="648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  <c r="AA648" s="40" t="n"/>
      <c r="AB648" s="40" t="n"/>
      <c r="AC648" s="40" t="n"/>
      <c r="AD648" s="40" t="n"/>
    </row>
    <row r="649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  <c r="AA649" s="40" t="n"/>
      <c r="AB649" s="40" t="n"/>
      <c r="AC649" s="40" t="n"/>
      <c r="AD649" s="40" t="n"/>
    </row>
    <row r="650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  <c r="AA650" s="40" t="n"/>
      <c r="AB650" s="40" t="n"/>
      <c r="AC650" s="40" t="n"/>
      <c r="AD650" s="40" t="n"/>
    </row>
    <row r="651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  <c r="AA651" s="40" t="n"/>
      <c r="AB651" s="40" t="n"/>
      <c r="AC651" s="40" t="n"/>
      <c r="AD651" s="40" t="n"/>
    </row>
    <row r="652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  <c r="AA652" s="40" t="n"/>
      <c r="AB652" s="40" t="n"/>
      <c r="AC652" s="40" t="n"/>
      <c r="AD652" s="40" t="n"/>
    </row>
    <row r="653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  <c r="AA653" s="40" t="n"/>
      <c r="AB653" s="40" t="n"/>
      <c r="AC653" s="40" t="n"/>
      <c r="AD653" s="40" t="n"/>
    </row>
    <row r="654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  <c r="AA654" s="40" t="n"/>
      <c r="AB654" s="40" t="n"/>
      <c r="AC654" s="40" t="n"/>
      <c r="AD654" s="40" t="n"/>
    </row>
    <row r="655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  <c r="AA655" s="40" t="n"/>
      <c r="AB655" s="40" t="n"/>
      <c r="AC655" s="40" t="n"/>
      <c r="AD655" s="40" t="n"/>
    </row>
    <row r="656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  <c r="AA656" s="40" t="n"/>
      <c r="AB656" s="40" t="n"/>
      <c r="AC656" s="40" t="n"/>
      <c r="AD656" s="40" t="n"/>
    </row>
    <row r="657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  <c r="AA657" s="40" t="n"/>
      <c r="AB657" s="40" t="n"/>
      <c r="AC657" s="40" t="n"/>
      <c r="AD657" s="40" t="n"/>
    </row>
    <row r="658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  <c r="AA658" s="40" t="n"/>
      <c r="AB658" s="40" t="n"/>
      <c r="AC658" s="40" t="n"/>
      <c r="AD658" s="40" t="n"/>
    </row>
    <row r="659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  <c r="AA659" s="40" t="n"/>
      <c r="AB659" s="40" t="n"/>
      <c r="AC659" s="40" t="n"/>
      <c r="AD659" s="40" t="n"/>
    </row>
    <row r="660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  <c r="AA660" s="40" t="n"/>
      <c r="AB660" s="40" t="n"/>
      <c r="AC660" s="40" t="n"/>
      <c r="AD660" s="40" t="n"/>
    </row>
    <row r="661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  <c r="AA661" s="40" t="n"/>
      <c r="AB661" s="40" t="n"/>
      <c r="AC661" s="40" t="n"/>
      <c r="AD661" s="40" t="n"/>
    </row>
    <row r="662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  <c r="AA662" s="40" t="n"/>
      <c r="AB662" s="40" t="n"/>
      <c r="AC662" s="40" t="n"/>
      <c r="AD662" s="40" t="n"/>
    </row>
    <row r="663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  <c r="AA663" s="40" t="n"/>
      <c r="AB663" s="40" t="n"/>
      <c r="AC663" s="40" t="n"/>
      <c r="AD663" s="40" t="n"/>
    </row>
    <row r="664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  <c r="AA664" s="40" t="n"/>
      <c r="AB664" s="40" t="n"/>
      <c r="AC664" s="40" t="n"/>
      <c r="AD664" s="40" t="n"/>
    </row>
    <row r="665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  <c r="AA665" s="40" t="n"/>
      <c r="AB665" s="40" t="n"/>
      <c r="AC665" s="40" t="n"/>
      <c r="AD665" s="40" t="n"/>
    </row>
    <row r="666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  <c r="AA666" s="40" t="n"/>
      <c r="AB666" s="40" t="n"/>
      <c r="AC666" s="40" t="n"/>
      <c r="AD666" s="40" t="n"/>
    </row>
    <row r="667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  <c r="AA667" s="40" t="n"/>
      <c r="AB667" s="40" t="n"/>
      <c r="AC667" s="40" t="n"/>
      <c r="AD667" s="40" t="n"/>
    </row>
    <row r="668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  <c r="AA668" s="40" t="n"/>
      <c r="AB668" s="40" t="n"/>
      <c r="AC668" s="40" t="n"/>
      <c r="AD668" s="40" t="n"/>
    </row>
    <row r="669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  <c r="AA669" s="40" t="n"/>
      <c r="AB669" s="40" t="n"/>
      <c r="AC669" s="40" t="n"/>
      <c r="AD669" s="40" t="n"/>
    </row>
    <row r="670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  <c r="AA670" s="40" t="n"/>
      <c r="AB670" s="40" t="n"/>
      <c r="AC670" s="40" t="n"/>
      <c r="AD670" s="40" t="n"/>
    </row>
    <row r="671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  <c r="AA671" s="40" t="n"/>
      <c r="AB671" s="40" t="n"/>
      <c r="AC671" s="40" t="n"/>
      <c r="AD671" s="40" t="n"/>
    </row>
    <row r="672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  <c r="AA672" s="40" t="n"/>
      <c r="AB672" s="40" t="n"/>
      <c r="AC672" s="40" t="n"/>
      <c r="AD672" s="40" t="n"/>
    </row>
    <row r="673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  <c r="AA673" s="40" t="n"/>
      <c r="AB673" s="40" t="n"/>
      <c r="AC673" s="40" t="n"/>
      <c r="AD673" s="40" t="n"/>
    </row>
    <row r="674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  <c r="AA674" s="40" t="n"/>
      <c r="AB674" s="40" t="n"/>
      <c r="AC674" s="40" t="n"/>
      <c r="AD674" s="40" t="n"/>
    </row>
    <row r="675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  <c r="AA675" s="40" t="n"/>
      <c r="AB675" s="40" t="n"/>
      <c r="AC675" s="40" t="n"/>
      <c r="AD675" s="40" t="n"/>
    </row>
    <row r="676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  <c r="AA676" s="40" t="n"/>
      <c r="AB676" s="40" t="n"/>
      <c r="AC676" s="40" t="n"/>
      <c r="AD676" s="40" t="n"/>
    </row>
    <row r="677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  <c r="AA677" s="40" t="n"/>
      <c r="AB677" s="40" t="n"/>
      <c r="AC677" s="40" t="n"/>
      <c r="AD677" s="40" t="n"/>
    </row>
    <row r="678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  <c r="AA678" s="40" t="n"/>
      <c r="AB678" s="40" t="n"/>
      <c r="AC678" s="40" t="n"/>
      <c r="AD678" s="40" t="n"/>
    </row>
    <row r="679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  <c r="AA679" s="40" t="n"/>
      <c r="AB679" s="40" t="n"/>
      <c r="AC679" s="40" t="n"/>
      <c r="AD679" s="40" t="n"/>
    </row>
    <row r="680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  <c r="AA680" s="40" t="n"/>
      <c r="AB680" s="40" t="n"/>
      <c r="AC680" s="40" t="n"/>
      <c r="AD680" s="40" t="n"/>
    </row>
    <row r="681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  <c r="AA681" s="40" t="n"/>
      <c r="AB681" s="40" t="n"/>
      <c r="AC681" s="40" t="n"/>
      <c r="AD681" s="40" t="n"/>
    </row>
    <row r="682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  <c r="AA682" s="40" t="n"/>
      <c r="AB682" s="40" t="n"/>
      <c r="AC682" s="40" t="n"/>
      <c r="AD682" s="40" t="n"/>
    </row>
    <row r="683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  <c r="AA683" s="40" t="n"/>
      <c r="AB683" s="40" t="n"/>
      <c r="AC683" s="40" t="n"/>
      <c r="AD683" s="40" t="n"/>
    </row>
    <row r="684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  <c r="AA684" s="40" t="n"/>
      <c r="AB684" s="40" t="n"/>
      <c r="AC684" s="40" t="n"/>
      <c r="AD684" s="40" t="n"/>
    </row>
    <row r="685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  <c r="AA685" s="40" t="n"/>
      <c r="AB685" s="40" t="n"/>
      <c r="AC685" s="40" t="n"/>
      <c r="AD685" s="40" t="n"/>
    </row>
    <row r="686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  <c r="AA686" s="40" t="n"/>
      <c r="AB686" s="40" t="n"/>
      <c r="AC686" s="40" t="n"/>
      <c r="AD686" s="40" t="n"/>
    </row>
    <row r="687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  <c r="AA687" s="40" t="n"/>
      <c r="AB687" s="40" t="n"/>
      <c r="AC687" s="40" t="n"/>
      <c r="AD687" s="40" t="n"/>
    </row>
    <row r="688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  <c r="AA688" s="40" t="n"/>
      <c r="AB688" s="40" t="n"/>
      <c r="AC688" s="40" t="n"/>
      <c r="AD688" s="40" t="n"/>
    </row>
    <row r="689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  <c r="AA689" s="40" t="n"/>
      <c r="AB689" s="40" t="n"/>
      <c r="AC689" s="40" t="n"/>
      <c r="AD689" s="40" t="n"/>
    </row>
    <row r="690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  <c r="AA690" s="40" t="n"/>
      <c r="AB690" s="40" t="n"/>
      <c r="AC690" s="40" t="n"/>
      <c r="AD690" s="40" t="n"/>
    </row>
    <row r="691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  <c r="AA691" s="40" t="n"/>
      <c r="AB691" s="40" t="n"/>
      <c r="AC691" s="40" t="n"/>
      <c r="AD691" s="40" t="n"/>
    </row>
    <row r="692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  <c r="AA692" s="40" t="n"/>
      <c r="AB692" s="40" t="n"/>
      <c r="AC692" s="40" t="n"/>
      <c r="AD692" s="40" t="n"/>
    </row>
    <row r="693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  <c r="AA693" s="40" t="n"/>
      <c r="AB693" s="40" t="n"/>
      <c r="AC693" s="40" t="n"/>
      <c r="AD693" s="40" t="n"/>
    </row>
    <row r="694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  <c r="AA694" s="40" t="n"/>
      <c r="AB694" s="40" t="n"/>
      <c r="AC694" s="40" t="n"/>
      <c r="AD694" s="40" t="n"/>
    </row>
    <row r="695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  <c r="AA695" s="40" t="n"/>
      <c r="AB695" s="40" t="n"/>
      <c r="AC695" s="40" t="n"/>
      <c r="AD695" s="40" t="n"/>
    </row>
    <row r="696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  <c r="AA696" s="40" t="n"/>
      <c r="AB696" s="40" t="n"/>
      <c r="AC696" s="40" t="n"/>
      <c r="AD696" s="40" t="n"/>
    </row>
    <row r="697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  <c r="AA697" s="40" t="n"/>
      <c r="AB697" s="40" t="n"/>
      <c r="AC697" s="40" t="n"/>
      <c r="AD697" s="40" t="n"/>
    </row>
    <row r="698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  <c r="AA698" s="40" t="n"/>
      <c r="AB698" s="40" t="n"/>
      <c r="AC698" s="40" t="n"/>
      <c r="AD698" s="40" t="n"/>
    </row>
    <row r="699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  <c r="AA699" s="40" t="n"/>
      <c r="AB699" s="40" t="n"/>
      <c r="AC699" s="40" t="n"/>
      <c r="AD699" s="40" t="n"/>
    </row>
    <row r="700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  <c r="AA700" s="40" t="n"/>
      <c r="AB700" s="40" t="n"/>
      <c r="AC700" s="40" t="n"/>
      <c r="AD700" s="40" t="n"/>
    </row>
    <row r="701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  <c r="AA701" s="40" t="n"/>
      <c r="AB701" s="40" t="n"/>
      <c r="AC701" s="40" t="n"/>
      <c r="AD701" s="40" t="n"/>
    </row>
    <row r="702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  <c r="AA702" s="40" t="n"/>
      <c r="AB702" s="40" t="n"/>
      <c r="AC702" s="40" t="n"/>
      <c r="AD702" s="40" t="n"/>
    </row>
    <row r="703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  <c r="AA703" s="40" t="n"/>
      <c r="AB703" s="40" t="n"/>
      <c r="AC703" s="40" t="n"/>
      <c r="AD703" s="40" t="n"/>
    </row>
    <row r="704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  <c r="AA704" s="40" t="n"/>
      <c r="AB704" s="40" t="n"/>
      <c r="AC704" s="40" t="n"/>
      <c r="AD704" s="40" t="n"/>
    </row>
    <row r="705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  <c r="AA705" s="40" t="n"/>
      <c r="AB705" s="40" t="n"/>
      <c r="AC705" s="40" t="n"/>
      <c r="AD705" s="40" t="n"/>
    </row>
    <row r="706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  <c r="AA706" s="40" t="n"/>
      <c r="AB706" s="40" t="n"/>
      <c r="AC706" s="40" t="n"/>
      <c r="AD706" s="40" t="n"/>
    </row>
    <row r="707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  <c r="AA707" s="40" t="n"/>
      <c r="AB707" s="40" t="n"/>
      <c r="AC707" s="40" t="n"/>
      <c r="AD707" s="40" t="n"/>
    </row>
    <row r="708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  <c r="AA708" s="40" t="n"/>
      <c r="AB708" s="40" t="n"/>
      <c r="AC708" s="40" t="n"/>
      <c r="AD708" s="40" t="n"/>
    </row>
    <row r="709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  <c r="AA709" s="40" t="n"/>
      <c r="AB709" s="40" t="n"/>
      <c r="AC709" s="40" t="n"/>
      <c r="AD709" s="40" t="n"/>
    </row>
    <row r="710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  <c r="AA710" s="40" t="n"/>
      <c r="AB710" s="40" t="n"/>
      <c r="AC710" s="40" t="n"/>
      <c r="AD710" s="40" t="n"/>
    </row>
    <row r="711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  <c r="AA711" s="40" t="n"/>
      <c r="AB711" s="40" t="n"/>
      <c r="AC711" s="40" t="n"/>
      <c r="AD711" s="40" t="n"/>
    </row>
    <row r="712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  <c r="AA712" s="40" t="n"/>
      <c r="AB712" s="40" t="n"/>
      <c r="AC712" s="40" t="n"/>
      <c r="AD712" s="40" t="n"/>
    </row>
    <row r="713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  <c r="AA713" s="40" t="n"/>
      <c r="AB713" s="40" t="n"/>
      <c r="AC713" s="40" t="n"/>
      <c r="AD713" s="40" t="n"/>
    </row>
    <row r="714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  <c r="AA714" s="40" t="n"/>
      <c r="AB714" s="40" t="n"/>
      <c r="AC714" s="40" t="n"/>
      <c r="AD714" s="40" t="n"/>
    </row>
    <row r="715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  <c r="AA715" s="40" t="n"/>
      <c r="AB715" s="40" t="n"/>
      <c r="AC715" s="40" t="n"/>
      <c r="AD715" s="40" t="n"/>
    </row>
    <row r="716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  <c r="AA716" s="40" t="n"/>
      <c r="AB716" s="40" t="n"/>
      <c r="AC716" s="40" t="n"/>
      <c r="AD716" s="40" t="n"/>
    </row>
    <row r="717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  <c r="AA717" s="40" t="n"/>
      <c r="AB717" s="40" t="n"/>
      <c r="AC717" s="40" t="n"/>
      <c r="AD717" s="40" t="n"/>
    </row>
    <row r="718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  <c r="AA718" s="40" t="n"/>
      <c r="AB718" s="40" t="n"/>
      <c r="AC718" s="40" t="n"/>
      <c r="AD718" s="40" t="n"/>
    </row>
    <row r="719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  <c r="AA719" s="40" t="n"/>
      <c r="AB719" s="40" t="n"/>
      <c r="AC719" s="40" t="n"/>
      <c r="AD719" s="40" t="n"/>
    </row>
    <row r="720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  <c r="AA720" s="40" t="n"/>
      <c r="AB720" s="40" t="n"/>
      <c r="AC720" s="40" t="n"/>
      <c r="AD720" s="40" t="n"/>
    </row>
    <row r="721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  <c r="AA721" s="40" t="n"/>
      <c r="AB721" s="40" t="n"/>
      <c r="AC721" s="40" t="n"/>
      <c r="AD721" s="40" t="n"/>
    </row>
    <row r="722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  <c r="AA722" s="40" t="n"/>
      <c r="AB722" s="40" t="n"/>
      <c r="AC722" s="40" t="n"/>
      <c r="AD722" s="40" t="n"/>
    </row>
    <row r="723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  <c r="AA723" s="40" t="n"/>
      <c r="AB723" s="40" t="n"/>
      <c r="AC723" s="40" t="n"/>
      <c r="AD723" s="40" t="n"/>
    </row>
    <row r="724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  <c r="AA724" s="40" t="n"/>
      <c r="AB724" s="40" t="n"/>
      <c r="AC724" s="40" t="n"/>
      <c r="AD724" s="40" t="n"/>
    </row>
    <row r="725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  <c r="AA725" s="40" t="n"/>
      <c r="AB725" s="40" t="n"/>
      <c r="AC725" s="40" t="n"/>
      <c r="AD725" s="40" t="n"/>
    </row>
    <row r="726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  <c r="AA726" s="40" t="n"/>
      <c r="AB726" s="40" t="n"/>
      <c r="AC726" s="40" t="n"/>
      <c r="AD726" s="40" t="n"/>
    </row>
    <row r="727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  <c r="AA727" s="40" t="n"/>
      <c r="AB727" s="40" t="n"/>
      <c r="AC727" s="40" t="n"/>
      <c r="AD727" s="40" t="n"/>
    </row>
    <row r="728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  <c r="AA728" s="40" t="n"/>
      <c r="AB728" s="40" t="n"/>
      <c r="AC728" s="40" t="n"/>
      <c r="AD728" s="40" t="n"/>
    </row>
    <row r="729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  <c r="AA729" s="40" t="n"/>
      <c r="AB729" s="40" t="n"/>
      <c r="AC729" s="40" t="n"/>
      <c r="AD729" s="40" t="n"/>
    </row>
    <row r="730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  <c r="AA730" s="40" t="n"/>
      <c r="AB730" s="40" t="n"/>
      <c r="AC730" s="40" t="n"/>
      <c r="AD730" s="40" t="n"/>
    </row>
    <row r="731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  <c r="AA731" s="40" t="n"/>
      <c r="AB731" s="40" t="n"/>
      <c r="AC731" s="40" t="n"/>
      <c r="AD731" s="40" t="n"/>
    </row>
    <row r="732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  <c r="AA732" s="40" t="n"/>
      <c r="AB732" s="40" t="n"/>
      <c r="AC732" s="40" t="n"/>
      <c r="AD732" s="40" t="n"/>
    </row>
    <row r="733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  <c r="AA733" s="40" t="n"/>
      <c r="AB733" s="40" t="n"/>
      <c r="AC733" s="40" t="n"/>
      <c r="AD733" s="40" t="n"/>
    </row>
    <row r="734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  <c r="AA734" s="40" t="n"/>
      <c r="AB734" s="40" t="n"/>
      <c r="AC734" s="40" t="n"/>
      <c r="AD734" s="40" t="n"/>
    </row>
    <row r="735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  <c r="AA735" s="40" t="n"/>
      <c r="AB735" s="40" t="n"/>
      <c r="AC735" s="40" t="n"/>
      <c r="AD735" s="40" t="n"/>
    </row>
    <row r="736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  <c r="AA736" s="40" t="n"/>
      <c r="AB736" s="40" t="n"/>
      <c r="AC736" s="40" t="n"/>
      <c r="AD736" s="40" t="n"/>
    </row>
    <row r="737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  <c r="AA737" s="40" t="n"/>
      <c r="AB737" s="40" t="n"/>
      <c r="AC737" s="40" t="n"/>
      <c r="AD737" s="40" t="n"/>
    </row>
    <row r="738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  <c r="AA738" s="40" t="n"/>
      <c r="AB738" s="40" t="n"/>
      <c r="AC738" s="40" t="n"/>
      <c r="AD738" s="40" t="n"/>
    </row>
    <row r="739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  <c r="AA739" s="40" t="n"/>
      <c r="AB739" s="40" t="n"/>
      <c r="AC739" s="40" t="n"/>
      <c r="AD739" s="40" t="n"/>
    </row>
    <row r="740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  <c r="AA740" s="40" t="n"/>
      <c r="AB740" s="40" t="n"/>
      <c r="AC740" s="40" t="n"/>
      <c r="AD740" s="40" t="n"/>
    </row>
    <row r="741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  <c r="AA741" s="40" t="n"/>
      <c r="AB741" s="40" t="n"/>
      <c r="AC741" s="40" t="n"/>
      <c r="AD741" s="40" t="n"/>
    </row>
    <row r="742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  <c r="AA742" s="40" t="n"/>
      <c r="AB742" s="40" t="n"/>
      <c r="AC742" s="40" t="n"/>
      <c r="AD742" s="40" t="n"/>
    </row>
    <row r="743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  <c r="AA743" s="40" t="n"/>
      <c r="AB743" s="40" t="n"/>
      <c r="AC743" s="40" t="n"/>
      <c r="AD743" s="40" t="n"/>
    </row>
    <row r="744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  <c r="AA744" s="40" t="n"/>
      <c r="AB744" s="40" t="n"/>
      <c r="AC744" s="40" t="n"/>
      <c r="AD744" s="40" t="n"/>
    </row>
    <row r="745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  <c r="AA745" s="40" t="n"/>
      <c r="AB745" s="40" t="n"/>
      <c r="AC745" s="40" t="n"/>
      <c r="AD745" s="40" t="n"/>
    </row>
    <row r="746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  <c r="AA746" s="40" t="n"/>
      <c r="AB746" s="40" t="n"/>
      <c r="AC746" s="40" t="n"/>
      <c r="AD746" s="40" t="n"/>
    </row>
    <row r="747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  <c r="AA747" s="40" t="n"/>
      <c r="AB747" s="40" t="n"/>
      <c r="AC747" s="40" t="n"/>
      <c r="AD747" s="40" t="n"/>
    </row>
    <row r="748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  <c r="AA748" s="40" t="n"/>
      <c r="AB748" s="40" t="n"/>
      <c r="AC748" s="40" t="n"/>
      <c r="AD748" s="40" t="n"/>
    </row>
    <row r="749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  <c r="AA749" s="40" t="n"/>
      <c r="AB749" s="40" t="n"/>
      <c r="AC749" s="40" t="n"/>
      <c r="AD749" s="40" t="n"/>
    </row>
    <row r="750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  <c r="AA750" s="40" t="n"/>
      <c r="AB750" s="40" t="n"/>
      <c r="AC750" s="40" t="n"/>
      <c r="AD750" s="40" t="n"/>
    </row>
    <row r="751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  <c r="AA751" s="40" t="n"/>
      <c r="AB751" s="40" t="n"/>
      <c r="AC751" s="40" t="n"/>
      <c r="AD751" s="40" t="n"/>
    </row>
    <row r="752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  <c r="AA752" s="40" t="n"/>
      <c r="AB752" s="40" t="n"/>
      <c r="AC752" s="40" t="n"/>
      <c r="AD752" s="40" t="n"/>
    </row>
    <row r="753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  <c r="AA753" s="40" t="n"/>
      <c r="AB753" s="40" t="n"/>
      <c r="AC753" s="40" t="n"/>
      <c r="AD753" s="40" t="n"/>
    </row>
    <row r="754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  <c r="AA754" s="40" t="n"/>
      <c r="AB754" s="40" t="n"/>
      <c r="AC754" s="40" t="n"/>
      <c r="AD754" s="40" t="n"/>
    </row>
    <row r="755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  <c r="AA755" s="40" t="n"/>
      <c r="AB755" s="40" t="n"/>
      <c r="AC755" s="40" t="n"/>
      <c r="AD755" s="40" t="n"/>
    </row>
    <row r="756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  <c r="AA756" s="40" t="n"/>
      <c r="AB756" s="40" t="n"/>
      <c r="AC756" s="40" t="n"/>
      <c r="AD756" s="40" t="n"/>
    </row>
    <row r="757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  <c r="AA757" s="40" t="n"/>
      <c r="AB757" s="40" t="n"/>
      <c r="AC757" s="40" t="n"/>
      <c r="AD757" s="40" t="n"/>
    </row>
    <row r="758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  <c r="AA758" s="40" t="n"/>
      <c r="AB758" s="40" t="n"/>
      <c r="AC758" s="40" t="n"/>
      <c r="AD758" s="40" t="n"/>
    </row>
    <row r="759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  <c r="AA759" s="40" t="n"/>
      <c r="AB759" s="40" t="n"/>
      <c r="AC759" s="40" t="n"/>
      <c r="AD759" s="40" t="n"/>
    </row>
    <row r="760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  <c r="AA760" s="40" t="n"/>
      <c r="AB760" s="40" t="n"/>
      <c r="AC760" s="40" t="n"/>
      <c r="AD760" s="40" t="n"/>
    </row>
    <row r="761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  <c r="AA761" s="40" t="n"/>
      <c r="AB761" s="40" t="n"/>
      <c r="AC761" s="40" t="n"/>
      <c r="AD761" s="40" t="n"/>
    </row>
    <row r="762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  <c r="AA762" s="40" t="n"/>
      <c r="AB762" s="40" t="n"/>
      <c r="AC762" s="40" t="n"/>
      <c r="AD762" s="40" t="n"/>
    </row>
    <row r="763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  <c r="AA763" s="40" t="n"/>
      <c r="AB763" s="40" t="n"/>
      <c r="AC763" s="40" t="n"/>
      <c r="AD763" s="40" t="n"/>
    </row>
    <row r="764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  <c r="AA764" s="40" t="n"/>
      <c r="AB764" s="40" t="n"/>
      <c r="AC764" s="40" t="n"/>
      <c r="AD764" s="40" t="n"/>
    </row>
    <row r="765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  <c r="AA765" s="40" t="n"/>
      <c r="AB765" s="40" t="n"/>
      <c r="AC765" s="40" t="n"/>
      <c r="AD765" s="40" t="n"/>
    </row>
    <row r="766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  <c r="AA766" s="40" t="n"/>
      <c r="AB766" s="40" t="n"/>
      <c r="AC766" s="40" t="n"/>
      <c r="AD766" s="40" t="n"/>
    </row>
    <row r="767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  <c r="AA767" s="40" t="n"/>
      <c r="AB767" s="40" t="n"/>
      <c r="AC767" s="40" t="n"/>
      <c r="AD767" s="40" t="n"/>
    </row>
    <row r="768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  <c r="AA768" s="40" t="n"/>
      <c r="AB768" s="40" t="n"/>
      <c r="AC768" s="40" t="n"/>
      <c r="AD768" s="40" t="n"/>
    </row>
    <row r="769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  <c r="AA769" s="40" t="n"/>
      <c r="AB769" s="40" t="n"/>
      <c r="AC769" s="40" t="n"/>
      <c r="AD769" s="40" t="n"/>
    </row>
    <row r="770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  <c r="AA770" s="40" t="n"/>
      <c r="AB770" s="40" t="n"/>
      <c r="AC770" s="40" t="n"/>
      <c r="AD770" s="40" t="n"/>
    </row>
    <row r="771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  <c r="AA771" s="40" t="n"/>
      <c r="AB771" s="40" t="n"/>
      <c r="AC771" s="40" t="n"/>
      <c r="AD771" s="40" t="n"/>
    </row>
    <row r="772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  <c r="AA772" s="40" t="n"/>
      <c r="AB772" s="40" t="n"/>
      <c r="AC772" s="40" t="n"/>
      <c r="AD772" s="40" t="n"/>
    </row>
    <row r="773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  <c r="AA773" s="40" t="n"/>
      <c r="AB773" s="40" t="n"/>
      <c r="AC773" s="40" t="n"/>
      <c r="AD773" s="40" t="n"/>
    </row>
    <row r="774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  <c r="AA774" s="40" t="n"/>
      <c r="AB774" s="40" t="n"/>
      <c r="AC774" s="40" t="n"/>
      <c r="AD774" s="40" t="n"/>
    </row>
    <row r="775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  <c r="AA775" s="40" t="n"/>
      <c r="AB775" s="40" t="n"/>
      <c r="AC775" s="40" t="n"/>
      <c r="AD775" s="40" t="n"/>
    </row>
    <row r="776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  <c r="AA776" s="40" t="n"/>
      <c r="AB776" s="40" t="n"/>
      <c r="AC776" s="40" t="n"/>
      <c r="AD776" s="40" t="n"/>
    </row>
    <row r="777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  <c r="AA777" s="40" t="n"/>
      <c r="AB777" s="40" t="n"/>
      <c r="AC777" s="40" t="n"/>
      <c r="AD777" s="40" t="n"/>
    </row>
    <row r="778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  <c r="AA778" s="40" t="n"/>
      <c r="AB778" s="40" t="n"/>
      <c r="AC778" s="40" t="n"/>
      <c r="AD778" s="40" t="n"/>
    </row>
    <row r="779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  <c r="AA779" s="40" t="n"/>
      <c r="AB779" s="40" t="n"/>
      <c r="AC779" s="40" t="n"/>
      <c r="AD779" s="40" t="n"/>
    </row>
    <row r="780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  <c r="AA780" s="40" t="n"/>
      <c r="AB780" s="40" t="n"/>
      <c r="AC780" s="40" t="n"/>
      <c r="AD780" s="40" t="n"/>
    </row>
    <row r="781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  <c r="AA781" s="40" t="n"/>
      <c r="AB781" s="40" t="n"/>
      <c r="AC781" s="40" t="n"/>
      <c r="AD781" s="40" t="n"/>
    </row>
    <row r="782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  <c r="AA782" s="40" t="n"/>
      <c r="AB782" s="40" t="n"/>
      <c r="AC782" s="40" t="n"/>
      <c r="AD782" s="40" t="n"/>
    </row>
    <row r="783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  <c r="AA783" s="40" t="n"/>
      <c r="AB783" s="40" t="n"/>
      <c r="AC783" s="40" t="n"/>
      <c r="AD783" s="40" t="n"/>
    </row>
    <row r="784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  <c r="AA784" s="40" t="n"/>
      <c r="AB784" s="40" t="n"/>
      <c r="AC784" s="40" t="n"/>
      <c r="AD784" s="40" t="n"/>
    </row>
    <row r="785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  <c r="AA785" s="40" t="n"/>
      <c r="AB785" s="40" t="n"/>
      <c r="AC785" s="40" t="n"/>
      <c r="AD785" s="40" t="n"/>
    </row>
    <row r="786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  <c r="AA786" s="40" t="n"/>
      <c r="AB786" s="40" t="n"/>
      <c r="AC786" s="40" t="n"/>
      <c r="AD786" s="40" t="n"/>
    </row>
    <row r="787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  <c r="AA787" s="40" t="n"/>
      <c r="AB787" s="40" t="n"/>
      <c r="AC787" s="40" t="n"/>
      <c r="AD787" s="40" t="n"/>
    </row>
    <row r="788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  <c r="AA788" s="40" t="n"/>
      <c r="AB788" s="40" t="n"/>
      <c r="AC788" s="40" t="n"/>
      <c r="AD788" s="40" t="n"/>
    </row>
    <row r="789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  <c r="AA789" s="40" t="n"/>
      <c r="AB789" s="40" t="n"/>
      <c r="AC789" s="40" t="n"/>
      <c r="AD789" s="40" t="n"/>
    </row>
    <row r="790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  <c r="AA790" s="40" t="n"/>
      <c r="AB790" s="40" t="n"/>
      <c r="AC790" s="40" t="n"/>
      <c r="AD790" s="40" t="n"/>
    </row>
    <row r="791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  <c r="AA791" s="40" t="n"/>
      <c r="AB791" s="40" t="n"/>
      <c r="AC791" s="40" t="n"/>
      <c r="AD791" s="40" t="n"/>
    </row>
    <row r="792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  <c r="AA792" s="40" t="n"/>
      <c r="AB792" s="40" t="n"/>
      <c r="AC792" s="40" t="n"/>
      <c r="AD792" s="40" t="n"/>
    </row>
    <row r="793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  <c r="AA793" s="40" t="n"/>
      <c r="AB793" s="40" t="n"/>
      <c r="AC793" s="40" t="n"/>
      <c r="AD793" s="40" t="n"/>
    </row>
    <row r="794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  <c r="AA794" s="40" t="n"/>
      <c r="AB794" s="40" t="n"/>
      <c r="AC794" s="40" t="n"/>
      <c r="AD794" s="40" t="n"/>
    </row>
    <row r="795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  <c r="AA795" s="40" t="n"/>
      <c r="AB795" s="40" t="n"/>
      <c r="AC795" s="40" t="n"/>
      <c r="AD795" s="40" t="n"/>
    </row>
    <row r="796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  <c r="AA796" s="40" t="n"/>
      <c r="AB796" s="40" t="n"/>
      <c r="AC796" s="40" t="n"/>
      <c r="AD796" s="40" t="n"/>
    </row>
    <row r="797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  <c r="AA797" s="40" t="n"/>
      <c r="AB797" s="40" t="n"/>
      <c r="AC797" s="40" t="n"/>
      <c r="AD797" s="40" t="n"/>
    </row>
    <row r="798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  <c r="AA798" s="40" t="n"/>
      <c r="AB798" s="40" t="n"/>
      <c r="AC798" s="40" t="n"/>
      <c r="AD798" s="40" t="n"/>
    </row>
    <row r="799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  <c r="AA799" s="40" t="n"/>
      <c r="AB799" s="40" t="n"/>
      <c r="AC799" s="40" t="n"/>
      <c r="AD799" s="40" t="n"/>
    </row>
    <row r="800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  <c r="AA800" s="40" t="n"/>
      <c r="AB800" s="40" t="n"/>
      <c r="AC800" s="40" t="n"/>
      <c r="AD800" s="40" t="n"/>
    </row>
    <row r="801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  <c r="AA801" s="40" t="n"/>
      <c r="AB801" s="40" t="n"/>
      <c r="AC801" s="40" t="n"/>
      <c r="AD801" s="40" t="n"/>
    </row>
    <row r="802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  <c r="AA802" s="40" t="n"/>
      <c r="AB802" s="40" t="n"/>
      <c r="AC802" s="40" t="n"/>
      <c r="AD802" s="40" t="n"/>
    </row>
    <row r="803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  <c r="AA803" s="40" t="n"/>
      <c r="AB803" s="40" t="n"/>
      <c r="AC803" s="40" t="n"/>
      <c r="AD803" s="40" t="n"/>
    </row>
    <row r="804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  <c r="AA804" s="40" t="n"/>
      <c r="AB804" s="40" t="n"/>
      <c r="AC804" s="40" t="n"/>
      <c r="AD804" s="40" t="n"/>
    </row>
    <row r="805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  <c r="AA805" s="40" t="n"/>
      <c r="AB805" s="40" t="n"/>
      <c r="AC805" s="40" t="n"/>
      <c r="AD805" s="40" t="n"/>
    </row>
    <row r="806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  <c r="AA806" s="40" t="n"/>
      <c r="AB806" s="40" t="n"/>
      <c r="AC806" s="40" t="n"/>
      <c r="AD806" s="40" t="n"/>
    </row>
    <row r="807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  <c r="AA807" s="40" t="n"/>
      <c r="AB807" s="40" t="n"/>
      <c r="AC807" s="40" t="n"/>
      <c r="AD807" s="40" t="n"/>
    </row>
    <row r="808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  <c r="AA808" s="40" t="n"/>
      <c r="AB808" s="40" t="n"/>
      <c r="AC808" s="40" t="n"/>
      <c r="AD808" s="40" t="n"/>
    </row>
    <row r="809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  <c r="AA809" s="40" t="n"/>
      <c r="AB809" s="40" t="n"/>
      <c r="AC809" s="40" t="n"/>
      <c r="AD809" s="40" t="n"/>
    </row>
    <row r="810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  <c r="AA810" s="40" t="n"/>
      <c r="AB810" s="40" t="n"/>
      <c r="AC810" s="40" t="n"/>
      <c r="AD810" s="40" t="n"/>
    </row>
    <row r="811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  <c r="AA811" s="40" t="n"/>
      <c r="AB811" s="40" t="n"/>
      <c r="AC811" s="40" t="n"/>
      <c r="AD811" s="40" t="n"/>
    </row>
    <row r="812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  <c r="AA812" s="40" t="n"/>
      <c r="AB812" s="40" t="n"/>
      <c r="AC812" s="40" t="n"/>
      <c r="AD812" s="40" t="n"/>
    </row>
    <row r="813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  <c r="AA813" s="40" t="n"/>
      <c r="AB813" s="40" t="n"/>
      <c r="AC813" s="40" t="n"/>
      <c r="AD813" s="40" t="n"/>
    </row>
    <row r="814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  <c r="AA814" s="40" t="n"/>
      <c r="AB814" s="40" t="n"/>
      <c r="AC814" s="40" t="n"/>
      <c r="AD814" s="40" t="n"/>
    </row>
    <row r="815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  <c r="AA815" s="40" t="n"/>
      <c r="AB815" s="40" t="n"/>
      <c r="AC815" s="40" t="n"/>
      <c r="AD815" s="40" t="n"/>
    </row>
    <row r="816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  <c r="AA816" s="40" t="n"/>
      <c r="AB816" s="40" t="n"/>
      <c r="AC816" s="40" t="n"/>
      <c r="AD816" s="40" t="n"/>
    </row>
    <row r="817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  <c r="AA817" s="40" t="n"/>
      <c r="AB817" s="40" t="n"/>
      <c r="AC817" s="40" t="n"/>
      <c r="AD817" s="40" t="n"/>
    </row>
    <row r="818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  <c r="AA818" s="40" t="n"/>
      <c r="AB818" s="40" t="n"/>
      <c r="AC818" s="40" t="n"/>
      <c r="AD818" s="40" t="n"/>
    </row>
    <row r="819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  <c r="AA819" s="40" t="n"/>
      <c r="AB819" s="40" t="n"/>
      <c r="AC819" s="40" t="n"/>
      <c r="AD819" s="40" t="n"/>
    </row>
    <row r="820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  <c r="AA820" s="40" t="n"/>
      <c r="AB820" s="40" t="n"/>
      <c r="AC820" s="40" t="n"/>
      <c r="AD820" s="40" t="n"/>
    </row>
    <row r="821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  <c r="AA821" s="40" t="n"/>
      <c r="AB821" s="40" t="n"/>
      <c r="AC821" s="40" t="n"/>
      <c r="AD821" s="40" t="n"/>
    </row>
    <row r="822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  <c r="AA822" s="40" t="n"/>
      <c r="AB822" s="40" t="n"/>
      <c r="AC822" s="40" t="n"/>
      <c r="AD822" s="40" t="n"/>
    </row>
    <row r="823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  <c r="AA823" s="40" t="n"/>
      <c r="AB823" s="40" t="n"/>
      <c r="AC823" s="40" t="n"/>
      <c r="AD823" s="40" t="n"/>
    </row>
    <row r="824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  <c r="AA824" s="40" t="n"/>
      <c r="AB824" s="40" t="n"/>
      <c r="AC824" s="40" t="n"/>
      <c r="AD824" s="40" t="n"/>
    </row>
    <row r="825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  <c r="AA825" s="40" t="n"/>
      <c r="AB825" s="40" t="n"/>
      <c r="AC825" s="40" t="n"/>
      <c r="AD825" s="40" t="n"/>
    </row>
    <row r="826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  <c r="AA826" s="40" t="n"/>
      <c r="AB826" s="40" t="n"/>
      <c r="AC826" s="40" t="n"/>
      <c r="AD826" s="40" t="n"/>
    </row>
    <row r="827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  <c r="AA827" s="40" t="n"/>
      <c r="AB827" s="40" t="n"/>
      <c r="AC827" s="40" t="n"/>
      <c r="AD827" s="40" t="n"/>
    </row>
    <row r="828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  <c r="AA828" s="40" t="n"/>
      <c r="AB828" s="40" t="n"/>
      <c r="AC828" s="40" t="n"/>
      <c r="AD828" s="40" t="n"/>
    </row>
    <row r="829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  <c r="AA829" s="40" t="n"/>
      <c r="AB829" s="40" t="n"/>
      <c r="AC829" s="40" t="n"/>
      <c r="AD829" s="40" t="n"/>
    </row>
    <row r="830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  <c r="AA830" s="40" t="n"/>
      <c r="AB830" s="40" t="n"/>
      <c r="AC830" s="40" t="n"/>
      <c r="AD830" s="40" t="n"/>
    </row>
    <row r="831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  <c r="AA831" s="40" t="n"/>
      <c r="AB831" s="40" t="n"/>
      <c r="AC831" s="40" t="n"/>
      <c r="AD831" s="40" t="n"/>
    </row>
    <row r="832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  <c r="AA832" s="40" t="n"/>
      <c r="AB832" s="40" t="n"/>
      <c r="AC832" s="40" t="n"/>
      <c r="AD832" s="40" t="n"/>
    </row>
    <row r="833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  <c r="AA833" s="40" t="n"/>
      <c r="AB833" s="40" t="n"/>
      <c r="AC833" s="40" t="n"/>
      <c r="AD833" s="40" t="n"/>
    </row>
    <row r="834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  <c r="AA834" s="40" t="n"/>
      <c r="AB834" s="40" t="n"/>
      <c r="AC834" s="40" t="n"/>
      <c r="AD834" s="40" t="n"/>
    </row>
    <row r="835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  <c r="AA835" s="40" t="n"/>
      <c r="AB835" s="40" t="n"/>
      <c r="AC835" s="40" t="n"/>
      <c r="AD835" s="40" t="n"/>
    </row>
    <row r="836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  <c r="AA836" s="40" t="n"/>
      <c r="AB836" s="40" t="n"/>
      <c r="AC836" s="40" t="n"/>
      <c r="AD836" s="40" t="n"/>
    </row>
    <row r="837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  <c r="AA837" s="40" t="n"/>
      <c r="AB837" s="40" t="n"/>
      <c r="AC837" s="40" t="n"/>
      <c r="AD837" s="40" t="n"/>
    </row>
    <row r="838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  <c r="AA838" s="40" t="n"/>
      <c r="AB838" s="40" t="n"/>
      <c r="AC838" s="40" t="n"/>
      <c r="AD838" s="40" t="n"/>
    </row>
    <row r="839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  <c r="AA839" s="40" t="n"/>
      <c r="AB839" s="40" t="n"/>
      <c r="AC839" s="40" t="n"/>
      <c r="AD839" s="40" t="n"/>
    </row>
    <row r="840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  <c r="AA840" s="40" t="n"/>
      <c r="AB840" s="40" t="n"/>
      <c r="AC840" s="40" t="n"/>
      <c r="AD840" s="40" t="n"/>
    </row>
    <row r="841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  <c r="AA841" s="40" t="n"/>
      <c r="AB841" s="40" t="n"/>
      <c r="AC841" s="40" t="n"/>
      <c r="AD841" s="40" t="n"/>
    </row>
    <row r="842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  <c r="AA842" s="40" t="n"/>
      <c r="AB842" s="40" t="n"/>
      <c r="AC842" s="40" t="n"/>
      <c r="AD842" s="40" t="n"/>
    </row>
    <row r="843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  <c r="AA843" s="40" t="n"/>
      <c r="AB843" s="40" t="n"/>
      <c r="AC843" s="40" t="n"/>
      <c r="AD843" s="40" t="n"/>
    </row>
    <row r="844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  <c r="AA844" s="40" t="n"/>
      <c r="AB844" s="40" t="n"/>
      <c r="AC844" s="40" t="n"/>
      <c r="AD844" s="40" t="n"/>
    </row>
    <row r="845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  <c r="AA845" s="40" t="n"/>
      <c r="AB845" s="40" t="n"/>
      <c r="AC845" s="40" t="n"/>
      <c r="AD845" s="40" t="n"/>
    </row>
    <row r="846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  <c r="AA846" s="40" t="n"/>
      <c r="AB846" s="40" t="n"/>
      <c r="AC846" s="40" t="n"/>
      <c r="AD846" s="40" t="n"/>
    </row>
    <row r="847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  <c r="AA847" s="40" t="n"/>
      <c r="AB847" s="40" t="n"/>
      <c r="AC847" s="40" t="n"/>
      <c r="AD847" s="40" t="n"/>
    </row>
    <row r="848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  <c r="AA848" s="40" t="n"/>
      <c r="AB848" s="40" t="n"/>
      <c r="AC848" s="40" t="n"/>
      <c r="AD848" s="40" t="n"/>
    </row>
    <row r="849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  <c r="AA849" s="40" t="n"/>
      <c r="AB849" s="40" t="n"/>
      <c r="AC849" s="40" t="n"/>
      <c r="AD849" s="40" t="n"/>
    </row>
    <row r="850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  <c r="AA850" s="40" t="n"/>
      <c r="AB850" s="40" t="n"/>
      <c r="AC850" s="40" t="n"/>
      <c r="AD850" s="40" t="n"/>
    </row>
    <row r="851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  <c r="AA851" s="40" t="n"/>
      <c r="AB851" s="40" t="n"/>
      <c r="AC851" s="40" t="n"/>
      <c r="AD851" s="40" t="n"/>
    </row>
    <row r="852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  <c r="AA852" s="40" t="n"/>
      <c r="AB852" s="40" t="n"/>
      <c r="AC852" s="40" t="n"/>
      <c r="AD852" s="40" t="n"/>
    </row>
    <row r="853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  <c r="AA853" s="40" t="n"/>
      <c r="AB853" s="40" t="n"/>
      <c r="AC853" s="40" t="n"/>
      <c r="AD853" s="40" t="n"/>
    </row>
    <row r="854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  <c r="AA854" s="40" t="n"/>
      <c r="AB854" s="40" t="n"/>
      <c r="AC854" s="40" t="n"/>
      <c r="AD854" s="40" t="n"/>
    </row>
    <row r="855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  <c r="AA855" s="40" t="n"/>
      <c r="AB855" s="40" t="n"/>
      <c r="AC855" s="40" t="n"/>
      <c r="AD855" s="40" t="n"/>
    </row>
    <row r="856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  <c r="AA856" s="40" t="n"/>
      <c r="AB856" s="40" t="n"/>
      <c r="AC856" s="40" t="n"/>
      <c r="AD856" s="40" t="n"/>
    </row>
    <row r="857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  <c r="AA857" s="40" t="n"/>
      <c r="AB857" s="40" t="n"/>
      <c r="AC857" s="40" t="n"/>
      <c r="AD857" s="40" t="n"/>
    </row>
    <row r="858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  <c r="AA858" s="40" t="n"/>
      <c r="AB858" s="40" t="n"/>
      <c r="AC858" s="40" t="n"/>
      <c r="AD858" s="40" t="n"/>
    </row>
    <row r="859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  <c r="AA859" s="40" t="n"/>
      <c r="AB859" s="40" t="n"/>
      <c r="AC859" s="40" t="n"/>
      <c r="AD859" s="40" t="n"/>
    </row>
    <row r="860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  <c r="AA860" s="40" t="n"/>
      <c r="AB860" s="40" t="n"/>
      <c r="AC860" s="40" t="n"/>
      <c r="AD860" s="40" t="n"/>
    </row>
    <row r="861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  <c r="AA861" s="40" t="n"/>
      <c r="AB861" s="40" t="n"/>
      <c r="AC861" s="40" t="n"/>
      <c r="AD861" s="40" t="n"/>
    </row>
    <row r="862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  <c r="AA862" s="40" t="n"/>
      <c r="AB862" s="40" t="n"/>
      <c r="AC862" s="40" t="n"/>
      <c r="AD862" s="40" t="n"/>
    </row>
    <row r="863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  <c r="AA863" s="40" t="n"/>
      <c r="AB863" s="40" t="n"/>
      <c r="AC863" s="40" t="n"/>
      <c r="AD863" s="40" t="n"/>
    </row>
    <row r="864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  <c r="AA864" s="40" t="n"/>
      <c r="AB864" s="40" t="n"/>
      <c r="AC864" s="40" t="n"/>
      <c r="AD864" s="40" t="n"/>
    </row>
    <row r="865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  <c r="AA865" s="40" t="n"/>
      <c r="AB865" s="40" t="n"/>
      <c r="AC865" s="40" t="n"/>
      <c r="AD865" s="40" t="n"/>
    </row>
    <row r="866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  <c r="AA866" s="40" t="n"/>
      <c r="AB866" s="40" t="n"/>
      <c r="AC866" s="40" t="n"/>
      <c r="AD866" s="40" t="n"/>
    </row>
    <row r="867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  <c r="AA867" s="40" t="n"/>
      <c r="AB867" s="40" t="n"/>
      <c r="AC867" s="40" t="n"/>
      <c r="AD867" s="40" t="n"/>
    </row>
    <row r="868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  <c r="AA868" s="40" t="n"/>
      <c r="AB868" s="40" t="n"/>
      <c r="AC868" s="40" t="n"/>
      <c r="AD868" s="40" t="n"/>
    </row>
    <row r="869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  <c r="AA869" s="40" t="n"/>
      <c r="AB869" s="40" t="n"/>
      <c r="AC869" s="40" t="n"/>
      <c r="AD869" s="40" t="n"/>
    </row>
    <row r="870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  <c r="AA870" s="40" t="n"/>
      <c r="AB870" s="40" t="n"/>
      <c r="AC870" s="40" t="n"/>
      <c r="AD870" s="40" t="n"/>
    </row>
    <row r="871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  <c r="AA871" s="40" t="n"/>
      <c r="AB871" s="40" t="n"/>
      <c r="AC871" s="40" t="n"/>
      <c r="AD871" s="40" t="n"/>
    </row>
    <row r="872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  <c r="AA872" s="40" t="n"/>
      <c r="AB872" s="40" t="n"/>
      <c r="AC872" s="40" t="n"/>
      <c r="AD872" s="40" t="n"/>
    </row>
    <row r="873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  <c r="AA873" s="40" t="n"/>
      <c r="AB873" s="40" t="n"/>
      <c r="AC873" s="40" t="n"/>
      <c r="AD873" s="40" t="n"/>
    </row>
    <row r="874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  <c r="AA874" s="40" t="n"/>
      <c r="AB874" s="40" t="n"/>
      <c r="AC874" s="40" t="n"/>
      <c r="AD874" s="40" t="n"/>
    </row>
    <row r="875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  <c r="AA875" s="40" t="n"/>
      <c r="AB875" s="40" t="n"/>
      <c r="AC875" s="40" t="n"/>
      <c r="AD875" s="40" t="n"/>
    </row>
    <row r="876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  <c r="AA876" s="40" t="n"/>
      <c r="AB876" s="40" t="n"/>
      <c r="AC876" s="40" t="n"/>
      <c r="AD876" s="40" t="n"/>
    </row>
    <row r="877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  <c r="AA877" s="40" t="n"/>
      <c r="AB877" s="40" t="n"/>
      <c r="AC877" s="40" t="n"/>
      <c r="AD877" s="40" t="n"/>
    </row>
    <row r="878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  <c r="AA878" s="40" t="n"/>
      <c r="AB878" s="40" t="n"/>
      <c r="AC878" s="40" t="n"/>
      <c r="AD878" s="40" t="n"/>
    </row>
    <row r="879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  <c r="AA879" s="40" t="n"/>
      <c r="AB879" s="40" t="n"/>
      <c r="AC879" s="40" t="n"/>
      <c r="AD879" s="40" t="n"/>
    </row>
    <row r="880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  <c r="AA880" s="40" t="n"/>
      <c r="AB880" s="40" t="n"/>
      <c r="AC880" s="40" t="n"/>
      <c r="AD880" s="40" t="n"/>
    </row>
    <row r="881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  <c r="AA881" s="40" t="n"/>
      <c r="AB881" s="40" t="n"/>
      <c r="AC881" s="40" t="n"/>
      <c r="AD881" s="40" t="n"/>
    </row>
    <row r="882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  <c r="AA882" s="40" t="n"/>
      <c r="AB882" s="40" t="n"/>
      <c r="AC882" s="40" t="n"/>
      <c r="AD882" s="40" t="n"/>
    </row>
    <row r="883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  <c r="AA883" s="40" t="n"/>
      <c r="AB883" s="40" t="n"/>
      <c r="AC883" s="40" t="n"/>
      <c r="AD883" s="40" t="n"/>
    </row>
    <row r="884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  <c r="AA884" s="40" t="n"/>
      <c r="AB884" s="40" t="n"/>
      <c r="AC884" s="40" t="n"/>
      <c r="AD884" s="40" t="n"/>
    </row>
    <row r="885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  <c r="AA885" s="40" t="n"/>
      <c r="AB885" s="40" t="n"/>
      <c r="AC885" s="40" t="n"/>
      <c r="AD885" s="40" t="n"/>
    </row>
    <row r="886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  <c r="AA886" s="40" t="n"/>
      <c r="AB886" s="40" t="n"/>
      <c r="AC886" s="40" t="n"/>
      <c r="AD886" s="40" t="n"/>
    </row>
    <row r="887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  <c r="AA887" s="40" t="n"/>
      <c r="AB887" s="40" t="n"/>
      <c r="AC887" s="40" t="n"/>
      <c r="AD887" s="40" t="n"/>
    </row>
    <row r="888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  <c r="AA888" s="40" t="n"/>
      <c r="AB888" s="40" t="n"/>
      <c r="AC888" s="40" t="n"/>
      <c r="AD888" s="40" t="n"/>
    </row>
    <row r="889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  <c r="AA889" s="40" t="n"/>
      <c r="AB889" s="40" t="n"/>
      <c r="AC889" s="40" t="n"/>
      <c r="AD889" s="40" t="n"/>
    </row>
    <row r="890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  <c r="AA890" s="40" t="n"/>
      <c r="AB890" s="40" t="n"/>
      <c r="AC890" s="40" t="n"/>
      <c r="AD890" s="40" t="n"/>
    </row>
    <row r="891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  <c r="AA891" s="40" t="n"/>
      <c r="AB891" s="40" t="n"/>
      <c r="AC891" s="40" t="n"/>
      <c r="AD891" s="40" t="n"/>
    </row>
    <row r="892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  <c r="AA892" s="40" t="n"/>
      <c r="AB892" s="40" t="n"/>
      <c r="AC892" s="40" t="n"/>
      <c r="AD892" s="40" t="n"/>
    </row>
    <row r="893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  <c r="AA893" s="40" t="n"/>
      <c r="AB893" s="40" t="n"/>
      <c r="AC893" s="40" t="n"/>
      <c r="AD893" s="40" t="n"/>
    </row>
    <row r="894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  <c r="AA894" s="40" t="n"/>
      <c r="AB894" s="40" t="n"/>
      <c r="AC894" s="40" t="n"/>
      <c r="AD894" s="40" t="n"/>
    </row>
    <row r="895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  <c r="AA895" s="40" t="n"/>
      <c r="AB895" s="40" t="n"/>
      <c r="AC895" s="40" t="n"/>
      <c r="AD895" s="40" t="n"/>
    </row>
    <row r="896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  <c r="AA896" s="40" t="n"/>
      <c r="AB896" s="40" t="n"/>
      <c r="AC896" s="40" t="n"/>
      <c r="AD896" s="40" t="n"/>
    </row>
    <row r="897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  <c r="AA897" s="40" t="n"/>
      <c r="AB897" s="40" t="n"/>
      <c r="AC897" s="40" t="n"/>
      <c r="AD897" s="40" t="n"/>
    </row>
    <row r="898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  <c r="AA898" s="40" t="n"/>
      <c r="AB898" s="40" t="n"/>
      <c r="AC898" s="40" t="n"/>
      <c r="AD898" s="40" t="n"/>
    </row>
    <row r="899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  <c r="AA899" s="40" t="n"/>
      <c r="AB899" s="40" t="n"/>
      <c r="AC899" s="40" t="n"/>
      <c r="AD899" s="40" t="n"/>
    </row>
    <row r="900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  <c r="AA900" s="40" t="n"/>
      <c r="AB900" s="40" t="n"/>
      <c r="AC900" s="40" t="n"/>
      <c r="AD900" s="40" t="n"/>
    </row>
    <row r="901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  <c r="AA901" s="40" t="n"/>
      <c r="AB901" s="40" t="n"/>
      <c r="AC901" s="40" t="n"/>
      <c r="AD901" s="40" t="n"/>
    </row>
    <row r="902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  <c r="AA902" s="40" t="n"/>
      <c r="AB902" s="40" t="n"/>
      <c r="AC902" s="40" t="n"/>
      <c r="AD902" s="40" t="n"/>
    </row>
    <row r="903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  <c r="AA903" s="40" t="n"/>
      <c r="AB903" s="40" t="n"/>
      <c r="AC903" s="40" t="n"/>
      <c r="AD903" s="40" t="n"/>
    </row>
    <row r="904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  <c r="AA904" s="40" t="n"/>
      <c r="AB904" s="40" t="n"/>
      <c r="AC904" s="40" t="n"/>
      <c r="AD904" s="40" t="n"/>
    </row>
    <row r="905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  <c r="AA905" s="40" t="n"/>
      <c r="AB905" s="40" t="n"/>
      <c r="AC905" s="40" t="n"/>
      <c r="AD905" s="40" t="n"/>
    </row>
    <row r="906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  <c r="AA906" s="40" t="n"/>
      <c r="AB906" s="40" t="n"/>
      <c r="AC906" s="40" t="n"/>
      <c r="AD906" s="40" t="n"/>
    </row>
    <row r="907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  <c r="AA907" s="40" t="n"/>
      <c r="AB907" s="40" t="n"/>
      <c r="AC907" s="40" t="n"/>
      <c r="AD907" s="40" t="n"/>
    </row>
    <row r="908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  <c r="AA908" s="40" t="n"/>
      <c r="AB908" s="40" t="n"/>
      <c r="AC908" s="40" t="n"/>
      <c r="AD908" s="40" t="n"/>
    </row>
    <row r="909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  <c r="AA909" s="40" t="n"/>
      <c r="AB909" s="40" t="n"/>
      <c r="AC909" s="40" t="n"/>
      <c r="AD909" s="40" t="n"/>
    </row>
    <row r="910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  <c r="AA910" s="40" t="n"/>
      <c r="AB910" s="40" t="n"/>
      <c r="AC910" s="40" t="n"/>
      <c r="AD910" s="40" t="n"/>
    </row>
    <row r="911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  <c r="AA911" s="40" t="n"/>
      <c r="AB911" s="40" t="n"/>
      <c r="AC911" s="40" t="n"/>
      <c r="AD911" s="40" t="n"/>
    </row>
    <row r="912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  <c r="AA912" s="40" t="n"/>
      <c r="AB912" s="40" t="n"/>
      <c r="AC912" s="40" t="n"/>
      <c r="AD912" s="40" t="n"/>
    </row>
    <row r="913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  <c r="AA913" s="40" t="n"/>
      <c r="AB913" s="40" t="n"/>
      <c r="AC913" s="40" t="n"/>
      <c r="AD913" s="40" t="n"/>
    </row>
    <row r="914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  <c r="AA914" s="40" t="n"/>
      <c r="AB914" s="40" t="n"/>
      <c r="AC914" s="40" t="n"/>
      <c r="AD914" s="40" t="n"/>
    </row>
    <row r="915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  <c r="AA915" s="40" t="n"/>
      <c r="AB915" s="40" t="n"/>
      <c r="AC915" s="40" t="n"/>
      <c r="AD915" s="40" t="n"/>
    </row>
    <row r="916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  <c r="AA916" s="40" t="n"/>
      <c r="AB916" s="40" t="n"/>
      <c r="AC916" s="40" t="n"/>
      <c r="AD916" s="40" t="n"/>
    </row>
    <row r="917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  <c r="AA917" s="40" t="n"/>
      <c r="AB917" s="40" t="n"/>
      <c r="AC917" s="40" t="n"/>
      <c r="AD917" s="40" t="n"/>
    </row>
    <row r="918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  <c r="AA918" s="40" t="n"/>
      <c r="AB918" s="40" t="n"/>
      <c r="AC918" s="40" t="n"/>
      <c r="AD918" s="40" t="n"/>
    </row>
    <row r="919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  <c r="AA919" s="40" t="n"/>
      <c r="AB919" s="40" t="n"/>
      <c r="AC919" s="40" t="n"/>
      <c r="AD919" s="40" t="n"/>
    </row>
    <row r="920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  <c r="AA920" s="40" t="n"/>
      <c r="AB920" s="40" t="n"/>
      <c r="AC920" s="40" t="n"/>
      <c r="AD920" s="40" t="n"/>
    </row>
    <row r="921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  <c r="AA921" s="40" t="n"/>
      <c r="AB921" s="40" t="n"/>
      <c r="AC921" s="40" t="n"/>
      <c r="AD921" s="40" t="n"/>
    </row>
    <row r="922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  <c r="AA922" s="40" t="n"/>
      <c r="AB922" s="40" t="n"/>
      <c r="AC922" s="40" t="n"/>
      <c r="AD922" s="40" t="n"/>
    </row>
    <row r="923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  <c r="AA923" s="40" t="n"/>
      <c r="AB923" s="40" t="n"/>
      <c r="AC923" s="40" t="n"/>
      <c r="AD923" s="40" t="n"/>
    </row>
    <row r="924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  <c r="AA924" s="40" t="n"/>
      <c r="AB924" s="40" t="n"/>
      <c r="AC924" s="40" t="n"/>
      <c r="AD924" s="40" t="n"/>
    </row>
    <row r="925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  <c r="AA925" s="40" t="n"/>
      <c r="AB925" s="40" t="n"/>
      <c r="AC925" s="40" t="n"/>
      <c r="AD925" s="40" t="n"/>
    </row>
    <row r="926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  <c r="AA926" s="40" t="n"/>
      <c r="AB926" s="40" t="n"/>
      <c r="AC926" s="40" t="n"/>
      <c r="AD926" s="40" t="n"/>
    </row>
    <row r="927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  <c r="AA927" s="40" t="n"/>
      <c r="AB927" s="40" t="n"/>
      <c r="AC927" s="40" t="n"/>
      <c r="AD927" s="40" t="n"/>
    </row>
    <row r="928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  <c r="AA928" s="40" t="n"/>
      <c r="AB928" s="40" t="n"/>
      <c r="AC928" s="40" t="n"/>
      <c r="AD928" s="40" t="n"/>
    </row>
    <row r="929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  <c r="AA929" s="40" t="n"/>
      <c r="AB929" s="40" t="n"/>
      <c r="AC929" s="40" t="n"/>
      <c r="AD929" s="40" t="n"/>
    </row>
    <row r="930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  <c r="AA930" s="40" t="n"/>
      <c r="AB930" s="40" t="n"/>
      <c r="AC930" s="40" t="n"/>
      <c r="AD930" s="40" t="n"/>
    </row>
    <row r="931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  <c r="AA931" s="40" t="n"/>
      <c r="AB931" s="40" t="n"/>
      <c r="AC931" s="40" t="n"/>
      <c r="AD931" s="40" t="n"/>
    </row>
    <row r="932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  <c r="AA932" s="40" t="n"/>
      <c r="AB932" s="40" t="n"/>
      <c r="AC932" s="40" t="n"/>
      <c r="AD932" s="40" t="n"/>
    </row>
    <row r="933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  <c r="AA933" s="40" t="n"/>
      <c r="AB933" s="40" t="n"/>
      <c r="AC933" s="40" t="n"/>
      <c r="AD933" s="40" t="n"/>
    </row>
    <row r="934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  <c r="AA934" s="40" t="n"/>
      <c r="AB934" s="40" t="n"/>
      <c r="AC934" s="40" t="n"/>
      <c r="AD934" s="40" t="n"/>
    </row>
    <row r="935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  <c r="AA935" s="40" t="n"/>
      <c r="AB935" s="40" t="n"/>
      <c r="AC935" s="40" t="n"/>
      <c r="AD935" s="40" t="n"/>
    </row>
    <row r="936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  <c r="AA936" s="40" t="n"/>
      <c r="AB936" s="40" t="n"/>
      <c r="AC936" s="40" t="n"/>
      <c r="AD936" s="40" t="n"/>
    </row>
    <row r="937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  <c r="AA937" s="40" t="n"/>
      <c r="AB937" s="40" t="n"/>
      <c r="AC937" s="40" t="n"/>
      <c r="AD937" s="40" t="n"/>
    </row>
    <row r="938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  <c r="AA938" s="40" t="n"/>
      <c r="AB938" s="40" t="n"/>
      <c r="AC938" s="40" t="n"/>
      <c r="AD938" s="40" t="n"/>
    </row>
    <row r="939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  <c r="AA939" s="40" t="n"/>
      <c r="AB939" s="40" t="n"/>
      <c r="AC939" s="40" t="n"/>
      <c r="AD939" s="40" t="n"/>
    </row>
    <row r="940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  <c r="AA940" s="40" t="n"/>
      <c r="AB940" s="40" t="n"/>
      <c r="AC940" s="40" t="n"/>
      <c r="AD940" s="40" t="n"/>
    </row>
    <row r="941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  <c r="AA941" s="40" t="n"/>
      <c r="AB941" s="40" t="n"/>
      <c r="AC941" s="40" t="n"/>
      <c r="AD941" s="40" t="n"/>
    </row>
    <row r="942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  <c r="AA942" s="40" t="n"/>
      <c r="AB942" s="40" t="n"/>
      <c r="AC942" s="40" t="n"/>
      <c r="AD942" s="40" t="n"/>
    </row>
    <row r="943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  <c r="AA943" s="40" t="n"/>
      <c r="AB943" s="40" t="n"/>
      <c r="AC943" s="40" t="n"/>
      <c r="AD943" s="40" t="n"/>
    </row>
    <row r="944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  <c r="AA944" s="40" t="n"/>
      <c r="AB944" s="40" t="n"/>
      <c r="AC944" s="40" t="n"/>
      <c r="AD944" s="40" t="n"/>
    </row>
    <row r="945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  <c r="AA945" s="40" t="n"/>
      <c r="AB945" s="40" t="n"/>
      <c r="AC945" s="40" t="n"/>
      <c r="AD945" s="40" t="n"/>
    </row>
    <row r="946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  <c r="AA946" s="40" t="n"/>
      <c r="AB946" s="40" t="n"/>
      <c r="AC946" s="40" t="n"/>
      <c r="AD946" s="40" t="n"/>
    </row>
    <row r="947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  <c r="AA947" s="40" t="n"/>
      <c r="AB947" s="40" t="n"/>
      <c r="AC947" s="40" t="n"/>
      <c r="AD947" s="40" t="n"/>
    </row>
    <row r="948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  <c r="AA948" s="40" t="n"/>
      <c r="AB948" s="40" t="n"/>
      <c r="AC948" s="40" t="n"/>
      <c r="AD948" s="40" t="n"/>
    </row>
    <row r="949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  <c r="AA949" s="40" t="n"/>
      <c r="AB949" s="40" t="n"/>
      <c r="AC949" s="40" t="n"/>
      <c r="AD949" s="40" t="n"/>
    </row>
    <row r="950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  <c r="AA950" s="40" t="n"/>
      <c r="AB950" s="40" t="n"/>
      <c r="AC950" s="40" t="n"/>
      <c r="AD950" s="40" t="n"/>
    </row>
    <row r="951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  <c r="AA951" s="40" t="n"/>
      <c r="AB951" s="40" t="n"/>
      <c r="AC951" s="40" t="n"/>
      <c r="AD951" s="40" t="n"/>
    </row>
    <row r="952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  <c r="AA952" s="40" t="n"/>
      <c r="AB952" s="40" t="n"/>
      <c r="AC952" s="40" t="n"/>
      <c r="AD952" s="40" t="n"/>
    </row>
    <row r="953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  <c r="AA953" s="40" t="n"/>
      <c r="AB953" s="40" t="n"/>
      <c r="AC953" s="40" t="n"/>
      <c r="AD953" s="40" t="n"/>
    </row>
    <row r="954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  <c r="AA954" s="40" t="n"/>
      <c r="AB954" s="40" t="n"/>
      <c r="AC954" s="40" t="n"/>
      <c r="AD954" s="40" t="n"/>
    </row>
    <row r="955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  <c r="AA955" s="40" t="n"/>
      <c r="AB955" s="40" t="n"/>
      <c r="AC955" s="40" t="n"/>
      <c r="AD955" s="40" t="n"/>
    </row>
    <row r="956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  <c r="AA956" s="40" t="n"/>
      <c r="AB956" s="40" t="n"/>
      <c r="AC956" s="40" t="n"/>
      <c r="AD956" s="40" t="n"/>
    </row>
    <row r="957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  <c r="AA957" s="40" t="n"/>
      <c r="AB957" s="40" t="n"/>
      <c r="AC957" s="40" t="n"/>
      <c r="AD957" s="40" t="n"/>
    </row>
    <row r="958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  <c r="AA958" s="40" t="n"/>
      <c r="AB958" s="40" t="n"/>
      <c r="AC958" s="40" t="n"/>
      <c r="AD958" s="40" t="n"/>
    </row>
    <row r="959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  <c r="AA959" s="40" t="n"/>
      <c r="AB959" s="40" t="n"/>
      <c r="AC959" s="40" t="n"/>
      <c r="AD959" s="40" t="n"/>
    </row>
    <row r="960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  <c r="AA960" s="40" t="n"/>
      <c r="AB960" s="40" t="n"/>
      <c r="AC960" s="40" t="n"/>
      <c r="AD960" s="40" t="n"/>
    </row>
    <row r="961">
      <c r="A961" s="40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  <c r="AA961" s="40" t="n"/>
      <c r="AB961" s="40" t="n"/>
      <c r="AC961" s="40" t="n"/>
      <c r="AD961" s="40" t="n"/>
    </row>
    <row r="962">
      <c r="A962" s="40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  <c r="AA962" s="40" t="n"/>
      <c r="AB962" s="40" t="n"/>
      <c r="AC962" s="40" t="n"/>
      <c r="AD962" s="40" t="n"/>
    </row>
    <row r="963">
      <c r="A963" s="40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  <c r="AA963" s="40" t="n"/>
      <c r="AB963" s="40" t="n"/>
      <c r="AC963" s="40" t="n"/>
      <c r="AD963" s="40" t="n"/>
    </row>
    <row r="964">
      <c r="A964" s="40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  <c r="AA964" s="40" t="n"/>
      <c r="AB964" s="40" t="n"/>
      <c r="AC964" s="40" t="n"/>
      <c r="AD964" s="40" t="n"/>
    </row>
    <row r="965">
      <c r="A965" s="40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  <c r="AA965" s="40" t="n"/>
      <c r="AB965" s="40" t="n"/>
      <c r="AC965" s="40" t="n"/>
      <c r="AD965" s="40" t="n"/>
    </row>
    <row r="966">
      <c r="A966" s="40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  <c r="AA966" s="40" t="n"/>
      <c r="AB966" s="40" t="n"/>
      <c r="AC966" s="40" t="n"/>
      <c r="AD966" s="40" t="n"/>
    </row>
    <row r="967">
      <c r="A967" s="40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  <c r="AA967" s="40" t="n"/>
      <c r="AB967" s="40" t="n"/>
      <c r="AC967" s="40" t="n"/>
      <c r="AD967" s="40" t="n"/>
    </row>
    <row r="968">
      <c r="A968" s="40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  <c r="AA968" s="40" t="n"/>
      <c r="AB968" s="40" t="n"/>
      <c r="AC968" s="40" t="n"/>
      <c r="AD968" s="40" t="n"/>
    </row>
    <row r="969">
      <c r="A969" s="40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  <c r="AA969" s="40" t="n"/>
      <c r="AB969" s="40" t="n"/>
      <c r="AC969" s="40" t="n"/>
      <c r="AD969" s="40" t="n"/>
    </row>
    <row r="970">
      <c r="A970" s="40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  <c r="AA970" s="40" t="n"/>
      <c r="AB970" s="40" t="n"/>
      <c r="AC970" s="40" t="n"/>
      <c r="AD970" s="40" t="n"/>
    </row>
    <row r="971">
      <c r="A971" s="40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  <c r="AA971" s="40" t="n"/>
      <c r="AB971" s="40" t="n"/>
      <c r="AC971" s="40" t="n"/>
      <c r="AD971" s="40" t="n"/>
    </row>
    <row r="972">
      <c r="A972" s="40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  <c r="AA972" s="40" t="n"/>
      <c r="AB972" s="40" t="n"/>
      <c r="AC972" s="40" t="n"/>
      <c r="AD972" s="40" t="n"/>
    </row>
    <row r="973">
      <c r="A973" s="40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  <c r="AA973" s="40" t="n"/>
      <c r="AB973" s="40" t="n"/>
      <c r="AC973" s="40" t="n"/>
      <c r="AD973" s="40" t="n"/>
    </row>
    <row r="974">
      <c r="A974" s="40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  <c r="AA974" s="40" t="n"/>
      <c r="AB974" s="40" t="n"/>
      <c r="AC974" s="40" t="n"/>
      <c r="AD974" s="40" t="n"/>
    </row>
    <row r="975">
      <c r="A975" s="40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  <c r="AA975" s="40" t="n"/>
      <c r="AB975" s="40" t="n"/>
      <c r="AC975" s="40" t="n"/>
      <c r="AD975" s="40" t="n"/>
    </row>
    <row r="976">
      <c r="A976" s="40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  <c r="AA976" s="40" t="n"/>
      <c r="AB976" s="40" t="n"/>
      <c r="AC976" s="40" t="n"/>
      <c r="AD976" s="40" t="n"/>
    </row>
    <row r="977">
      <c r="A977" s="40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  <c r="AA977" s="40" t="n"/>
      <c r="AB977" s="40" t="n"/>
      <c r="AC977" s="40" t="n"/>
      <c r="AD977" s="40" t="n"/>
    </row>
    <row r="978">
      <c r="A978" s="40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  <c r="AA978" s="40" t="n"/>
      <c r="AB978" s="40" t="n"/>
      <c r="AC978" s="40" t="n"/>
      <c r="AD978" s="40" t="n"/>
    </row>
    <row r="979">
      <c r="A979" s="40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  <c r="AA979" s="40" t="n"/>
      <c r="AB979" s="40" t="n"/>
      <c r="AC979" s="40" t="n"/>
      <c r="AD979" s="40" t="n"/>
    </row>
    <row r="980">
      <c r="A980" s="40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  <c r="AA980" s="40" t="n"/>
      <c r="AB980" s="40" t="n"/>
      <c r="AC980" s="40" t="n"/>
      <c r="AD980" s="40" t="n"/>
    </row>
    <row r="981">
      <c r="A981" s="40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  <c r="AA981" s="40" t="n"/>
      <c r="AB981" s="40" t="n"/>
      <c r="AC981" s="40" t="n"/>
      <c r="AD981" s="40" t="n"/>
    </row>
    <row r="982">
      <c r="A982" s="40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  <c r="AA982" s="40" t="n"/>
      <c r="AB982" s="40" t="n"/>
      <c r="AC982" s="40" t="n"/>
      <c r="AD982" s="40" t="n"/>
    </row>
    <row r="983">
      <c r="A983" s="40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  <c r="AA983" s="40" t="n"/>
      <c r="AB983" s="40" t="n"/>
      <c r="AC983" s="40" t="n"/>
      <c r="AD983" s="40" t="n"/>
    </row>
    <row r="984">
      <c r="A984" s="40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  <c r="AA984" s="40" t="n"/>
      <c r="AB984" s="40" t="n"/>
      <c r="AC984" s="40" t="n"/>
      <c r="AD984" s="40" t="n"/>
    </row>
    <row r="985">
      <c r="A985" s="40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  <c r="AA985" s="40" t="n"/>
      <c r="AB985" s="40" t="n"/>
      <c r="AC985" s="40" t="n"/>
      <c r="AD985" s="40" t="n"/>
    </row>
    <row r="986">
      <c r="A986" s="40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  <c r="AA986" s="40" t="n"/>
      <c r="AB986" s="40" t="n"/>
      <c r="AC986" s="40" t="n"/>
      <c r="AD986" s="40" t="n"/>
    </row>
    <row r="987">
      <c r="A987" s="40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  <c r="AA987" s="40" t="n"/>
      <c r="AB987" s="40" t="n"/>
      <c r="AC987" s="40" t="n"/>
      <c r="AD987" s="40" t="n"/>
    </row>
    <row r="988">
      <c r="A988" s="40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  <c r="AA988" s="40" t="n"/>
      <c r="AB988" s="40" t="n"/>
      <c r="AC988" s="40" t="n"/>
      <c r="AD988" s="40" t="n"/>
    </row>
    <row r="989">
      <c r="A989" s="40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  <c r="AA989" s="40" t="n"/>
      <c r="AB989" s="40" t="n"/>
      <c r="AC989" s="40" t="n"/>
      <c r="AD989" s="40" t="n"/>
    </row>
    <row r="990">
      <c r="A990" s="40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  <c r="AA990" s="40" t="n"/>
      <c r="AB990" s="40" t="n"/>
      <c r="AC990" s="40" t="n"/>
      <c r="AD990" s="40" t="n"/>
    </row>
    <row r="991">
      <c r="A991" s="40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  <c r="AA991" s="40" t="n"/>
      <c r="AB991" s="40" t="n"/>
      <c r="AC991" s="40" t="n"/>
      <c r="AD991" s="40" t="n"/>
    </row>
    <row r="992">
      <c r="A992" s="40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  <c r="AA992" s="40" t="n"/>
      <c r="AB992" s="40" t="n"/>
      <c r="AC992" s="40" t="n"/>
      <c r="AD992" s="40" t="n"/>
    </row>
    <row r="993">
      <c r="A993" s="40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40" t="n"/>
      <c r="AB993" s="40" t="n"/>
      <c r="AC993" s="40" t="n"/>
      <c r="AD993" s="40" t="n"/>
    </row>
    <row r="994">
      <c r="A994" s="40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  <c r="AA994" s="40" t="n"/>
      <c r="AB994" s="40" t="n"/>
      <c r="AC994" s="40" t="n"/>
      <c r="AD994" s="40" t="n"/>
    </row>
    <row r="995">
      <c r="A995" s="40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  <c r="AA995" s="40" t="n"/>
      <c r="AB995" s="40" t="n"/>
      <c r="AC995" s="40" t="n"/>
      <c r="AD995" s="40" t="n"/>
    </row>
    <row r="996">
      <c r="A996" s="40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  <c r="AA996" s="40" t="n"/>
      <c r="AB996" s="40" t="n"/>
      <c r="AC996" s="40" t="n"/>
      <c r="AD996" s="40" t="n"/>
    </row>
  </sheetData>
  <printOptions horizontalCentered="1" gridLines="1"/>
  <pageMargins left="1" right="1" top="1" bottom="1" header="0" footer="0"/>
  <pageSetup orientation="landscape" paperSize="12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S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38.75" customWidth="1" style="56" min="1" max="1"/>
    <col width="9.630000000000001" customWidth="1" style="56" min="2" max="2"/>
    <col width="37" customWidth="1" style="56" min="3" max="3"/>
    <col width="34.63" customWidth="1" style="56" min="4" max="4"/>
    <col width="12.5" customWidth="1" style="56" min="5" max="5"/>
    <col width="30.63" customWidth="1" style="56" min="6" max="6"/>
    <col width="13.75" customWidth="1" style="56" min="7" max="7"/>
    <col width="11.63" customWidth="1" style="56" min="8" max="8"/>
    <col width="31.63" customWidth="1" style="56" min="9" max="9"/>
  </cols>
  <sheetData>
    <row r="1">
      <c r="A1" s="54" t="inlineStr">
        <is>
          <t>รายการยา</t>
        </is>
      </c>
      <c r="B1" s="42" t="inlineStr">
        <is>
          <t>Concentration (mg/ml)</t>
        </is>
      </c>
      <c r="C1" s="40" t="inlineStr">
        <is>
          <t>standard dose (sanford guide 2025) age &gt; 28 day</t>
        </is>
      </c>
      <c r="D1" s="40" t="inlineStr">
        <is>
          <t>High dose regimen (sanford guide 2025)</t>
        </is>
      </c>
      <c r="E1" s="40" t="inlineStr">
        <is>
          <t>max dose</t>
        </is>
      </c>
      <c r="F1" s="40" t="inlineStr">
        <is>
          <t>Standard Dose (micromedex)</t>
        </is>
      </c>
      <c r="G1" s="40" t="inlineStr">
        <is>
          <t>High dose regimen</t>
        </is>
      </c>
      <c r="H1" s="40" t="inlineStr">
        <is>
          <t>Maximum dose</t>
        </is>
      </c>
      <c r="I1" s="22" t="inlineStr">
        <is>
          <t>กระทรวง</t>
        </is>
      </c>
      <c r="J1" s="22" t="inlineStr">
        <is>
          <t>อายุ</t>
        </is>
      </c>
    </row>
    <row r="2">
      <c r="A2" s="42" t="inlineStr">
        <is>
          <t>AMOXICILLIN 125 mg/5ml x 1 ขวด (60 ml.)</t>
        </is>
      </c>
      <c r="B2" s="42" t="n">
        <v>25</v>
      </c>
      <c r="C2" s="55" t="inlineStr">
        <is>
          <t>25-50 mg/kg/day divied q 8 hr</t>
        </is>
      </c>
      <c r="D2" s="55" t="inlineStr">
        <is>
          <t>80-100 mg/kg/day</t>
        </is>
      </c>
      <c r="E2" s="55" t="inlineStr">
        <is>
          <t>2-3 g/day (max 875 mg/dose)</t>
        </is>
      </c>
      <c r="F2" s="55" t="inlineStr">
        <is>
          <t>&lt;3 MO 15 mg/kg/dose q 12 hr
&gt;3 MO &amp; Wt.&lt;40 kg 25-45 mg/kg/day
&gt;=3 MO&amp; Wt. &gt;40 kg 500 mg/dose q 8-12 hr, 250 mg/dose q 8 hr, 875 mg q 12 hr</t>
        </is>
      </c>
      <c r="G2" s="22" t="inlineStr">
        <is>
          <t>50 mg/kg/dose</t>
        </is>
      </c>
      <c r="H2" t="inlineStr">
        <is>
          <t>3000 mg/day</t>
        </is>
      </c>
      <c r="I2" s="22" t="inlineStr">
        <is>
          <t>20-50 mg/kg/day divied q 8 hr</t>
        </is>
      </c>
    </row>
    <row r="3">
      <c r="A3" s="53" t="inlineStr">
        <is>
          <t>Co-Amoxiclav 457 mg/5ml x 1 ขวด</t>
        </is>
      </c>
      <c r="B3" s="42" t="n">
        <v>80</v>
      </c>
      <c r="C3" s="55" t="inlineStr">
        <is>
          <t>45 mg/kg/day divied q 12 hr</t>
        </is>
      </c>
      <c r="D3" s="55" t="inlineStr">
        <is>
          <t>90 mg/kg/day divied q 12 hr</t>
        </is>
      </c>
      <c r="E3" s="55" t="inlineStr">
        <is>
          <t>90 mg/kg/day (max 4000 mg Amox/day)</t>
        </is>
      </c>
      <c r="F3" s="55" t="inlineStr">
        <is>
          <t>&lt;90 day: 30 mg/kg/day divied q 12 hr
&gt;90 day: 25 mg/kg/day divied q 12 hr (max 500 mg/dose), 20 mg/kg/day divied q 8 hr (max250 mg/dose)</t>
        </is>
      </c>
      <c r="G3" s="22" t="inlineStr">
        <is>
          <t>90 mg/kg/day</t>
        </is>
      </c>
      <c r="H3" t="inlineStr">
        <is>
          <t>4000 mg/day</t>
        </is>
      </c>
      <c r="I3" s="22" t="inlineStr">
        <is>
          <t>25-45 mg/kg/day divied q 8 hr</t>
        </is>
      </c>
    </row>
    <row r="4">
      <c r="A4" s="53" t="inlineStr">
        <is>
          <t>DICLOXACILLIN 62.5 mg/5ml x 1 ขวด (60 ml.)</t>
        </is>
      </c>
      <c r="B4" s="42" t="n">
        <v>12.5</v>
      </c>
      <c r="C4" s="22" t="inlineStr">
        <is>
          <t>12.5-25 mg/kg/day divied q 6 hr</t>
        </is>
      </c>
      <c r="D4" t="inlineStr">
        <is>
          <t>50-100 mg/kg/day divied q 6 hr</t>
        </is>
      </c>
      <c r="E4" t="inlineStr">
        <is>
          <t>2000-4000 mg/day (max 500-1000 mg/dose)</t>
        </is>
      </c>
      <c r="F4" s="22" t="inlineStr">
        <is>
          <t>SSTI: 12.5-25 mg/kg/day divied q 6 hr (max 250 mg/dose)</t>
        </is>
      </c>
      <c r="G4" t="inlineStr">
        <is>
          <t>50-100 mg/kg/day divied q 6 hr</t>
        </is>
      </c>
      <c r="H4" t="inlineStr">
        <is>
          <t>4000 mg/day</t>
        </is>
      </c>
      <c r="I4" s="22" t="inlineStr">
        <is>
          <t>12.5-25 mg/kg/day divied q 6 hr</t>
        </is>
      </c>
    </row>
    <row r="5">
      <c r="A5" s="53" t="inlineStr">
        <is>
          <t>CO-TRIMOXAZOLE susp 240 mg/5ml x 1 ขวด (60 ml.)</t>
        </is>
      </c>
      <c r="B5" s="42" t="n">
        <v>8</v>
      </c>
      <c r="C5" s="22" t="inlineStr">
        <is>
          <t>8-10 mg/kg/day (TMP) divied q 12 hr</t>
        </is>
      </c>
      <c r="D5" t="inlineStr">
        <is>
          <t>15-20 mg/kg/day (TMP) divied q 6 hr</t>
        </is>
      </c>
      <c r="E5" t="inlineStr">
        <is>
          <t>320 mg TMP/day</t>
        </is>
      </c>
      <c r="F5" t="inlineStr">
        <is>
          <t>Mild-mod: 8 mg TMP/kg/day divied q 12 hr
Severe/PJP: 15-20 mg TMP/kg/day divied q 6-8 hr</t>
        </is>
      </c>
      <c r="G5" t="inlineStr">
        <is>
          <t>15-20 mg TMP/kg/day divied q 6 hr</t>
        </is>
      </c>
      <c r="H5" t="inlineStr">
        <is>
          <t>320 mg TMP/day</t>
        </is>
      </c>
      <c r="I5" s="22" t="inlineStr">
        <is>
          <t>4 mg/kg/dose (TMP) q 8 hr</t>
        </is>
      </c>
    </row>
    <row r="6">
      <c r="A6" s="53" t="inlineStr">
        <is>
          <t>cePHALEXIN SYRUP 125 mg/5ml x 1 syrup</t>
        </is>
      </c>
      <c r="B6" s="42" t="n">
        <v>25</v>
      </c>
      <c r="C6" s="22" t="inlineStr">
        <is>
          <t>25-100 mg/kg/day divied q 6 hr</t>
        </is>
      </c>
      <c r="D6" s="22" t="inlineStr">
        <is>
          <t>75-100 mg/kg/day divied q 6 hr</t>
        </is>
      </c>
      <c r="E6" t="inlineStr">
        <is>
          <t>4 g/day (max 1 g/dose)</t>
        </is>
      </c>
      <c r="F6" t="inlineStr">
        <is>
          <t>Mild-mod: 25-50 mg/kg/day divied q 6 hr
Severe: 75-100 mg/kg/day divied q 6 hr</t>
        </is>
      </c>
      <c r="G6" t="inlineStr">
        <is>
          <t>75-100 mg/kg/day divied q 6 hr</t>
        </is>
      </c>
      <c r="H6" t="inlineStr">
        <is>
          <t>4 g/day</t>
        </is>
      </c>
      <c r="I6" s="22" t="inlineStr">
        <is>
          <t>25-50 mg/kg/day divied q 6 hr</t>
        </is>
      </c>
    </row>
    <row r="7">
      <c r="A7" s="53" t="inlineStr">
        <is>
          <t>CEFIXIME(Cefspan) SYRUP 100 mg/5ml x 1 ขวด</t>
        </is>
      </c>
      <c r="B7" s="42" t="n">
        <v>20</v>
      </c>
      <c r="C7" s="22" t="inlineStr">
        <is>
          <t>8 mg/kg/day divied q 12-24 hr</t>
        </is>
      </c>
      <c r="D7" t="inlineStr">
        <is>
          <t>15-20 mg/kg/day divied q 12 hr</t>
        </is>
      </c>
      <c r="E7" t="inlineStr">
        <is>
          <t>400 mg/day</t>
        </is>
      </c>
      <c r="F7" t="inlineStr">
        <is>
          <t>Mild-mod: 8 mg/kg/day divied q 12-24 hr (max 400 mg/day)</t>
        </is>
      </c>
      <c r="G7" t="inlineStr">
        <is>
          <t>15-20 mg/kg/day divied q 12 hr</t>
        </is>
      </c>
      <c r="H7" t="inlineStr">
        <is>
          <t>400 mg/day</t>
        </is>
      </c>
      <c r="I7" t="inlineStr">
        <is>
          <t>8 mg/kg/day divied q 12-24 hr</t>
        </is>
      </c>
    </row>
    <row r="8">
      <c r="A8" s="53" t="inlineStr">
        <is>
          <t>ERYTHROMYCIN 125 mg/5ml x 1 ขวด (60 ml.)</t>
        </is>
      </c>
      <c r="B8" s="42" t="n">
        <v>25</v>
      </c>
      <c r="C8" s="22" t="inlineStr">
        <is>
          <t>45-50 mg/kg/day divied q 6 hr</t>
        </is>
      </c>
      <c r="D8" t="inlineStr">
        <is>
          <t>50-100 mg/kg/day divied q 6 hr</t>
        </is>
      </c>
      <c r="E8" t="inlineStr">
        <is>
          <t>2 g/day (max 4 g/day for severe)</t>
        </is>
      </c>
      <c r="F8" t="inlineStr">
        <is>
          <t>Mild-mod: 30-50 mg/kg/day divied q 6-8 hr (max 2 g/day)</t>
        </is>
      </c>
      <c r="G8" t="inlineStr">
        <is>
          <t>50-100 mg/kg/day divied q 6 hr</t>
        </is>
      </c>
      <c r="H8" t="inlineStr">
        <is>
          <t>4 g/day</t>
        </is>
      </c>
      <c r="I8" s="22" t="inlineStr">
        <is>
          <t>30-50 mg/kg/day divied q 6 hr</t>
        </is>
      </c>
    </row>
    <row r="9">
      <c r="A9" s="22" t="inlineStr">
        <is>
          <t>AZITHROMYCIN 200 mg/5ml x 1 ขวด (15 ml.)</t>
        </is>
      </c>
      <c r="B9" t="n">
        <v>40</v>
      </c>
      <c r="C9" s="22" t="inlineStr">
        <is>
          <t>10 mg/kg/day OD for 3 days</t>
        </is>
      </c>
      <c r="D9" t="inlineStr">
        <is>
          <t>12 mg/kg/day OD</t>
        </is>
      </c>
      <c r="E9" t="inlineStr">
        <is>
          <t>500 mg/day</t>
        </is>
      </c>
      <c r="F9" t="inlineStr">
        <is>
          <t>10 mg/kg/day OD on Day 1, then 5 mg/kg/day OD on Days 2-5 (max 500 mg on day 1, 250 mg on days 2-5)</t>
        </is>
      </c>
      <c r="G9" t="inlineStr">
        <is>
          <t>12 mg/kg/day OD</t>
        </is>
      </c>
      <c r="H9" t="inlineStr">
        <is>
          <t>500 mg/day</t>
        </is>
      </c>
      <c r="I9" s="22" t="inlineStr">
        <is>
          <t>10 mg/kg/day OD</t>
        </is>
      </c>
    </row>
    <row r="10">
      <c r="A10" s="22" t="inlineStr">
        <is>
          <t>Favipiravir 100 mg/1ml</t>
        </is>
      </c>
      <c r="B10" s="22" t="n">
        <v>100</v>
      </c>
      <c r="C10" t="inlineStr">
        <is>
          <t>Loading: 70 mg/kg/dose q 12 hr (Day 1), Maint: 30 mg/kg/dose q 12 hr (Day 2-5)</t>
        </is>
      </c>
      <c r="D10" t="inlineStr">
        <is>
          <t>-</t>
        </is>
      </c>
      <c r="E10" t="inlineStr">
        <is>
          <t>Loading 1800 mg/dose, Maint 800 mg/dose</t>
        </is>
      </c>
      <c r="F10" t="inlineStr">
        <is>
          <t>Pediatric COVID-19: Loading 70 mg/kg/dose q 12 hr (Day 1), Maint 30 mg/kg/dose q 12 hr (Day 2-5)</t>
        </is>
      </c>
      <c r="G10" t="inlineStr">
        <is>
          <t>-</t>
        </is>
      </c>
      <c r="H10" t="inlineStr">
        <is>
          <t>Loading 1800 mg/dose, Maint 800 mg/dose</t>
        </is>
      </c>
      <c r="I10" t="inlineStr">
        <is>
          <t>Loading 70 mg/kg/dose q 12 hr, Maint 30 mg/kg/dose q 12 hr</t>
        </is>
      </c>
    </row>
    <row r="11"/>
    <row r="12"/>
    <row r="13">
      <c r="A13" s="53" t="inlineStr">
        <is>
          <t>PARACETAMOL SUSPENSION 120 mg/5ml x 1 ขวด</t>
        </is>
      </c>
      <c r="B13" s="42" t="n">
        <v>24</v>
      </c>
      <c r="C13" t="inlineStr">
        <is>
          <t>10-15 mg/kg/dose q 4-6 hr</t>
        </is>
      </c>
      <c r="D13" t="inlineStr">
        <is>
          <t>-</t>
        </is>
      </c>
      <c r="E13" t="inlineStr">
        <is>
          <t>75 mg/kg/day (max 4000 mg/day)</t>
        </is>
      </c>
      <c r="F13" s="22" t="inlineStr">
        <is>
          <t>&lt;60 kg: 10-15 mg/kg/dose q 4-6 hr
&gt;=60 kg: 650-1000 mg q 4-6 hr</t>
        </is>
      </c>
      <c r="G13" t="inlineStr">
        <is>
          <t>-</t>
        </is>
      </c>
      <c r="H13" s="22" t="inlineStr">
        <is>
          <t>4 gm/day</t>
        </is>
      </c>
      <c r="I13" s="22" t="inlineStr">
        <is>
          <t>10-15 mg/kg/dose q 4-6 hr</t>
        </is>
      </c>
    </row>
    <row r="14">
      <c r="A14" s="53" t="inlineStr">
        <is>
          <t>CPM 2 mg/5ml x 1 ขวด (60 ml.)</t>
        </is>
      </c>
      <c r="B14" s="42" t="n">
        <v>0.4</v>
      </c>
      <c r="C14" t="inlineStr">
        <is>
          <t>0.35 mg/kg/day divied q 6 hr</t>
        </is>
      </c>
      <c r="D14" t="inlineStr">
        <is>
          <t>-</t>
        </is>
      </c>
      <c r="E14" s="22" t="inlineStr">
        <is>
          <t>12 mg/day</t>
        </is>
      </c>
      <c r="F14" t="inlineStr">
        <is>
          <t>2-5 yr: 1 mg q 4-6 hr (max 6 mg/day)
6-11 yr: 2 mg q 4-6 hr (max 12 mg/day)</t>
        </is>
      </c>
      <c r="G14" t="inlineStr">
        <is>
          <t>-</t>
        </is>
      </c>
      <c r="H14" t="inlineStr">
        <is>
          <t>12 mg/day</t>
        </is>
      </c>
      <c r="I14" s="22" t="inlineStr">
        <is>
          <t>0.35 mg/kg/day divied q 6-8 hr</t>
        </is>
      </c>
      <c r="J14" t="inlineStr">
        <is>
          <t>Age &gt;= 2 years</t>
        </is>
      </c>
    </row>
    <row r="15">
      <c r="A15" s="53" t="inlineStr">
        <is>
          <t>CETIRIZINE 5 mg/5ml x 1 ขวด (60 ml.)</t>
        </is>
      </c>
      <c r="B15" s="42" t="n">
        <v>1</v>
      </c>
      <c r="C15" t="inlineStr">
        <is>
          <t>0.25 mg/kg/day OD</t>
        </is>
      </c>
      <c r="D15" t="inlineStr">
        <is>
          <t>-</t>
        </is>
      </c>
      <c r="E15" t="inlineStr">
        <is>
          <t>10 mg/day</t>
        </is>
      </c>
      <c r="F15" t="inlineStr">
        <is>
          <t>6 mo-2 yr: 2.5 mg OD
2-5 yr: 2.5-5 mg OD
&gt;=6 yr: 5-10 mg OD</t>
        </is>
      </c>
      <c r="G15" t="inlineStr">
        <is>
          <t>-</t>
        </is>
      </c>
      <c r="H15" t="inlineStr">
        <is>
          <t>10 mg/day</t>
        </is>
      </c>
      <c r="I15" t="inlineStr">
        <is>
          <t>0.25 mg/kg/day OD</t>
        </is>
      </c>
      <c r="J15" t="inlineStr">
        <is>
          <t>Age &gt;= 6 months</t>
        </is>
      </c>
    </row>
    <row r="16">
      <c r="A16" s="53" t="inlineStr">
        <is>
          <t>IBUPROFEN SUSP 100 mg/5ml x 1 ขวด</t>
        </is>
      </c>
      <c r="B16" s="42" t="n">
        <v>20</v>
      </c>
      <c r="C16" t="inlineStr">
        <is>
          <t>5-10 mg/kg/dose q 6 hr</t>
        </is>
      </c>
      <c r="D16" t="inlineStr">
        <is>
          <t>10 mg/kg/dose q 6 hr</t>
        </is>
      </c>
      <c r="E16" t="inlineStr">
        <is>
          <t>40 mg/kg/day (max 2400 mg/day)</t>
        </is>
      </c>
      <c r="F16" t="inlineStr">
        <is>
          <t>Mild-mod: 5-10 mg/kg/dose q 6-8 hr (max 400 mg/dose, 40 mg/kg/day)</t>
        </is>
      </c>
      <c r="G16" t="inlineStr">
        <is>
          <t>JIA: 30-40 mg/kg/day divied q 6-8 hr</t>
        </is>
      </c>
      <c r="H16" t="inlineStr">
        <is>
          <t>2400 mg/day</t>
        </is>
      </c>
      <c r="I16" s="22" t="inlineStr">
        <is>
          <t>5-10 mg/kg/dose q 6-8 hr</t>
        </is>
      </c>
      <c r="J16" t="inlineStr">
        <is>
          <t>Age &gt;= 6 months</t>
        </is>
      </c>
    </row>
    <row r="17">
      <c r="A17" s="53" t="inlineStr">
        <is>
          <t>GLYCERYL GUAIACOLATE 100 mg/5ml x 1 ขวด</t>
        </is>
      </c>
      <c r="B17" t="n">
        <v>20</v>
      </c>
      <c r="C17" t="inlineStr">
        <is>
          <t>12 mg/kg/day divied q 6 hr</t>
        </is>
      </c>
      <c r="D17" t="inlineStr">
        <is>
          <t>-</t>
        </is>
      </c>
      <c r="E17" t="inlineStr">
        <is>
          <t>600-1200 mg/day</t>
        </is>
      </c>
      <c r="F17" t="inlineStr">
        <is>
          <t>2-5 yr: 50-100 mg q 4 hr (max 600 mg/day)
6-11 yr: 100-200 mg q 4 hr (max 1200 mg/day)
&gt;=12 yr: 200-400 mg q 4 hr (max 2400 mg/day)</t>
        </is>
      </c>
      <c r="G17" t="inlineStr">
        <is>
          <t>-</t>
        </is>
      </c>
      <c r="H17" t="inlineStr">
        <is>
          <t>2400 mg/day</t>
        </is>
      </c>
      <c r="I17" t="inlineStr">
        <is>
          <t>12 mg/kg/day divied q 6 hr</t>
        </is>
      </c>
      <c r="J17" t="inlineStr">
        <is>
          <t>Age &gt;= 2 years</t>
        </is>
      </c>
    </row>
    <row r="18">
      <c r="A18" s="53" t="inlineStr">
        <is>
          <t>HYOSCINE SYR 5 mg/5ml x 1 ขวด (30 ml.)</t>
        </is>
      </c>
      <c r="B18" t="n">
        <v>1</v>
      </c>
      <c r="C18" t="inlineStr">
        <is>
          <t>0.5 mg/kg/day divied q 8 hr</t>
        </is>
      </c>
      <c r="D18" t="inlineStr">
        <is>
          <t>-</t>
        </is>
      </c>
      <c r="E18" t="inlineStr">
        <is>
          <t>1.5 mg/kg/day (max 40 mg/day)</t>
        </is>
      </c>
      <c r="F18" t="inlineStr">
        <is>
          <t>1-4 yr: 2.5 mg q 8 hr
5-11 yr: 5-10 mg q 8 hr
&gt;=12 yr: 10-20 mg q 6-8 hr</t>
        </is>
      </c>
      <c r="G18" t="inlineStr">
        <is>
          <t>-</t>
        </is>
      </c>
      <c r="H18" t="inlineStr">
        <is>
          <t>40 mg/day</t>
        </is>
      </c>
      <c r="I18" t="inlineStr">
        <is>
          <t>0.5 mg/kg/day divied q 8 hr</t>
        </is>
      </c>
      <c r="J18" t="inlineStr">
        <is>
          <t>Age &gt;= 1 year</t>
        </is>
      </c>
    </row>
    <row r="19">
      <c r="A19" s="53" t="inlineStr">
        <is>
          <t>SIMETHICONE drop 67 mg./ml. x 1 ขวด (15 ml.)</t>
        </is>
      </c>
      <c r="B19" t="n">
        <v>67</v>
      </c>
      <c r="C19" t="inlineStr">
        <is>
          <t>1-2 mg/kg/dose q 6 hr</t>
        </is>
      </c>
      <c r="D19" t="inlineStr">
        <is>
          <t>-</t>
        </is>
      </c>
      <c r="E19" t="inlineStr">
        <is>
          <t>240 mg/day</t>
        </is>
      </c>
      <c r="F19" t="inlineStr">
        <is>
          <t>&lt;2 yr: 20 mg/dose q 6-8 hr (max 120 mg/day)
&gt;=2 yr: 40 mg/dose q 6-8 hr (max 240 mg/day)</t>
        </is>
      </c>
      <c r="G19" t="inlineStr">
        <is>
          <t>-</t>
        </is>
      </c>
      <c r="H19" t="inlineStr">
        <is>
          <t>240 mg/day</t>
        </is>
      </c>
      <c r="I19" t="inlineStr">
        <is>
          <t>1-2 mg/kg/dose q 6-8 hr</t>
        </is>
      </c>
    </row>
    <row r="20">
      <c r="A20" s="53" t="inlineStr">
        <is>
          <t>TERBUTALINE SYRUP 1.5 mg/5ml x 1 ขวด</t>
        </is>
      </c>
      <c r="B20" s="42" t="n">
        <v>0.3</v>
      </c>
      <c r="C20" t="inlineStr">
        <is>
          <t>0.15 mg/kg/day divied q 8 hr</t>
        </is>
      </c>
      <c r="D20" t="inlineStr">
        <is>
          <t>0.3 mg/kg/day divied q 8 hr</t>
        </is>
      </c>
      <c r="E20" t="inlineStr">
        <is>
          <t>5 mg/day</t>
        </is>
      </c>
      <c r="F20" t="inlineStr">
        <is>
          <t>0.15-0.3 mg/kg/day divided q 8 hr (max 5 mg/day)</t>
        </is>
      </c>
      <c r="G20" t="inlineStr">
        <is>
          <t>0.3 mg/kg/day divided q 8 hr</t>
        </is>
      </c>
      <c r="H20" t="inlineStr">
        <is>
          <t>5 mg/day</t>
        </is>
      </c>
      <c r="I20" t="inlineStr">
        <is>
          <t>0.15 mg/kg/day divied q 8 hr</t>
        </is>
      </c>
      <c r="J20" t="inlineStr">
        <is>
          <t>Age &gt;= 2 years</t>
        </is>
      </c>
    </row>
    <row r="21">
      <c r="A21" s="53" t="inlineStr">
        <is>
          <t>DOMPERIDONE 5 mg/5ml x 1 ขวด (30 ml.)</t>
        </is>
      </c>
      <c r="B21" s="42" t="n">
        <v>1</v>
      </c>
      <c r="C21" t="inlineStr">
        <is>
          <t>0.25 mg/kg/dose q 8 hr</t>
        </is>
      </c>
      <c r="D21" t="inlineStr">
        <is>
          <t>-</t>
        </is>
      </c>
      <c r="E21" t="inlineStr">
        <is>
          <t>0.75 mg/kg/day (max 30 mg/day)</t>
        </is>
      </c>
      <c r="F21" t="inlineStr">
        <is>
          <t>0.25 mg/kg/dose q 8 hr (max 30 mg/day)</t>
        </is>
      </c>
      <c r="G21" t="inlineStr">
        <is>
          <t>-</t>
        </is>
      </c>
      <c r="H21" t="inlineStr">
        <is>
          <t>30 mg/day</t>
        </is>
      </c>
      <c r="I21" s="22" t="inlineStr">
        <is>
          <t>0.2-0.4 mg/kg/dose q 8 hr</t>
        </is>
      </c>
      <c r="J21" t="inlineStr">
        <is>
          <t>Age &gt;= 1 year</t>
        </is>
      </c>
    </row>
    <row r="22">
      <c r="A22" s="22" t="inlineStr">
        <is>
          <t>smecta</t>
        </is>
      </c>
      <c r="B22" t="n">
        <v>0</v>
      </c>
      <c r="C22" t="inlineStr">
        <is>
          <t>&lt;1 yr: 1 pack/day; 1-2 yr: 1-2 pack/day; &gt;2 yr: 2-3 pack/day</t>
        </is>
      </c>
      <c r="D22" t="inlineStr">
        <is>
          <t>-</t>
        </is>
      </c>
      <c r="E22" t="inlineStr">
        <is>
          <t>3 packets/day</t>
        </is>
      </c>
      <c r="F22" t="inlineStr">
        <is>
          <t>Acute diarrhea: &lt;1 yr: 1 pack/day; 1-2 yr: 1-2 pack/day; &gt;2 yr: 2-3 pack/day</t>
        </is>
      </c>
      <c r="G22" t="inlineStr">
        <is>
          <t>-</t>
        </is>
      </c>
      <c r="H22" t="inlineStr">
        <is>
          <t>3 packets/day</t>
        </is>
      </c>
      <c r="I22" t="inlineStr">
        <is>
          <t>&lt;1 yr: 1 pack/day; 1-2 yr: 1-2 pack/day; &gt;2 yr: 2-3 pack/day</t>
        </is>
      </c>
      <c r="J22" t="inlineStr">
        <is>
          <t>Age &gt;= 2 years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2026-06-15T08:49:34Z</dcterms:created>
  <dcterms:modified xsi:type="dcterms:W3CDTF">2026-06-15T08:49:34Z</dcterms:modified>
</cp:coreProperties>
</file>